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views/Documents/VIEWS/Repos/thesis/docs/"/>
    </mc:Choice>
  </mc:AlternateContent>
  <xr:revisionPtr revIDLastSave="0" documentId="13_ncr:1_{418D7EB2-8973-E646-8648-EDBB6F5ABB63}" xr6:coauthVersionLast="47" xr6:coauthVersionMax="47" xr10:uidLastSave="{00000000-0000-0000-0000-000000000000}"/>
  <bookViews>
    <workbookView xWindow="0" yWindow="660" windowWidth="2900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7" i="1" l="1"/>
  <c r="D128" i="1"/>
  <c r="D119" i="1"/>
  <c r="D120" i="1"/>
  <c r="D121" i="1"/>
  <c r="D122" i="1"/>
  <c r="D123" i="1"/>
  <c r="D124" i="1"/>
  <c r="D125" i="1"/>
  <c r="D126" i="1"/>
  <c r="D118" i="1"/>
  <c r="D116" i="1"/>
  <c r="D114" i="1"/>
  <c r="D112" i="1"/>
  <c r="D107" i="1"/>
  <c r="D108" i="1"/>
  <c r="D109" i="1"/>
  <c r="D110" i="1"/>
  <c r="D111" i="1"/>
  <c r="D100" i="1"/>
  <c r="D101" i="1"/>
  <c r="D102" i="1"/>
  <c r="D103" i="1"/>
  <c r="D104" i="1"/>
  <c r="D105" i="1"/>
  <c r="D106" i="1"/>
  <c r="D99" i="1"/>
  <c r="D97" i="1"/>
  <c r="D96" i="1"/>
  <c r="D87" i="1"/>
  <c r="D88" i="1"/>
  <c r="D89" i="1"/>
  <c r="D90" i="1"/>
  <c r="D91" i="1"/>
  <c r="D92" i="1"/>
  <c r="D93" i="1"/>
  <c r="D94" i="1"/>
  <c r="D78" i="1"/>
  <c r="D79" i="1"/>
  <c r="D80" i="1"/>
  <c r="D81" i="1"/>
  <c r="D82" i="1"/>
  <c r="D83" i="1"/>
  <c r="D84" i="1"/>
  <c r="D85" i="1"/>
  <c r="D86" i="1"/>
  <c r="D77" i="1"/>
  <c r="D75" i="1"/>
  <c r="D74" i="1"/>
  <c r="D67" i="1"/>
  <c r="D68" i="1"/>
  <c r="D69" i="1"/>
  <c r="D70" i="1"/>
  <c r="D71" i="1"/>
  <c r="D72" i="1"/>
  <c r="D66" i="1"/>
  <c r="D64" i="1"/>
  <c r="D60" i="1"/>
  <c r="D61" i="1"/>
  <c r="D62" i="1"/>
  <c r="D50" i="1"/>
  <c r="D51" i="1"/>
  <c r="D52" i="1"/>
  <c r="D53" i="1"/>
  <c r="D54" i="1"/>
  <c r="D55" i="1"/>
  <c r="D56" i="1"/>
  <c r="D57" i="1"/>
  <c r="D58" i="1"/>
  <c r="D59" i="1"/>
  <c r="D45" i="1"/>
  <c r="D46" i="1"/>
  <c r="D47" i="1"/>
  <c r="D48" i="1"/>
  <c r="D49" i="1"/>
  <c r="D44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C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C97" i="1"/>
  <c r="C96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5" i="1"/>
  <c r="C74" i="1"/>
  <c r="C72" i="1"/>
  <c r="C71" i="1"/>
  <c r="C70" i="1"/>
  <c r="C69" i="1"/>
  <c r="C68" i="1"/>
  <c r="C67" i="1"/>
  <c r="C66" i="1"/>
  <c r="C64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1" i="1"/>
</calcChain>
</file>

<file path=xl/sharedStrings.xml><?xml version="1.0" encoding="utf-8"?>
<sst xmlns="http://schemas.openxmlformats.org/spreadsheetml/2006/main" count="1121" uniqueCount="390">
  <si>
    <t>Variable name</t>
  </si>
  <si>
    <t>Short description</t>
  </si>
  <si>
    <t>Transformation</t>
  </si>
  <si>
    <t>Long description</t>
  </si>
  <si>
    <t>Original name</t>
  </si>
  <si>
    <t>Original description</t>
  </si>
  <si>
    <t>Source</t>
  </si>
  <si>
    <t>Definition link</t>
  </si>
  <si>
    <t>Data link</t>
  </si>
  <si>
    <t>decay_acled_ns_5</t>
  </si>
  <si>
    <t>Months since 5 or more non-state fataltities</t>
  </si>
  <si>
    <t>bool (&gt;=5), decayed</t>
  </si>
  <si>
    <t>Decay function of number of months since 5 or more non-state fatalities (ACLED)</t>
  </si>
  <si>
    <t>acled_ns_fat</t>
  </si>
  <si>
    <t>VIEWS-adaptation of ACLED fatality count from battles or remote violence between non-state actors (i.e. not military forces/police forces/state forces or civilians)</t>
  </si>
  <si>
    <t>Armed Conflict Location &amp; Event Data Project (ACLED)</t>
  </si>
  <si>
    <t>https://acleddata.com/conflict-data</t>
  </si>
  <si>
    <t>decay_acled_os_5</t>
  </si>
  <si>
    <t>Months since 5 or more one-sided fatalities</t>
  </si>
  <si>
    <t>Decay function of number of months since 5 or more one-sided fatalities (ACLED)</t>
  </si>
  <si>
    <t>acled_os_fat</t>
  </si>
  <si>
    <t>VIEWS-adaptation of ACLED fatality count from battles, remote violence, and violence against civilians that takes the form of one-sided violence (i.e. involving civilians)</t>
  </si>
  <si>
    <t>ln_acled_os</t>
  </si>
  <si>
    <t>Number of one-sided fatalities</t>
  </si>
  <si>
    <t>Log(1 + p)</t>
  </si>
  <si>
    <t>Log(1 + p) of the number of one-sided fatalities (ACLED)</t>
  </si>
  <si>
    <t>ln_acled_sb_count</t>
  </si>
  <si>
    <t>Number of events with state-based fatalities</t>
  </si>
  <si>
    <t>Log(1 + p) of count of state-based fatality events (ACLED)</t>
  </si>
  <si>
    <t>acled_sb_count</t>
  </si>
  <si>
    <t>VIEWS-adaptation of ACLED event count for battles or remote violence involving at least one state-based actor (i.e military forces/state forces/police forces, not civilians)</t>
  </si>
  <si>
    <t>decay_acled_sb_5</t>
  </si>
  <si>
    <t>Months since 5 or more state-based fatalities</t>
  </si>
  <si>
    <t>bool (&gt;5), decayed</t>
  </si>
  <si>
    <t>Decay function of number of months since 5 or more state-based fatalities (ACLED)</t>
  </si>
  <si>
    <t>acled_sb_fat</t>
  </si>
  <si>
    <t>VIEWS-adaptation of ACLED fatality count from battles or remote violence involving at least one state-based actor (i.e military forces/state forces/police forces, not civilians)</t>
  </si>
  <si>
    <t>ln_acled_sb</t>
  </si>
  <si>
    <t>Number of state-based fatalities</t>
  </si>
  <si>
    <t>Log(1 + p) of number of state-based fatalities (ACLED)</t>
  </si>
  <si>
    <t>decay_ged_ns_100</t>
  </si>
  <si>
    <t>Months since 100 or more non-state fatalities</t>
  </si>
  <si>
    <t>bool (&gt;=100), decayed</t>
  </si>
  <si>
    <t>Decay function of number of months since 100 or more non-state fatalities (UCDP)</t>
  </si>
  <si>
    <t>ged_ns_best_sum_nokgi</t>
  </si>
  <si>
    <t xml:space="preserve">VIEWS-adaptation of the UCDP 'best estimate' of fatalities from non-state conflict, aggregated to the VIEWS levels of analysis. </t>
  </si>
  <si>
    <t>UCDP Georeferenced Events Dataset (GED); UCDP Candidate Events Dataset (UCDP Candidate) [rolling monthly]</t>
  </si>
  <si>
    <t>https://www.uu.se/en/department/peace-and-conflict-research/research/ucdp/ucdp-definitions</t>
  </si>
  <si>
    <t>https://ucdp.uu.se/downloads/</t>
  </si>
  <si>
    <t>decay_ged_ns_5</t>
  </si>
  <si>
    <t>Months since 5 or more non-state fatalities</t>
  </si>
  <si>
    <t>Decay function of number of months since 5 or more non-state fatalities (UCDP)</t>
  </si>
  <si>
    <t>ln_ged_ns</t>
  </si>
  <si>
    <t>Number of non-state fatalities</t>
  </si>
  <si>
    <t>Log(1 + p) of number of non-state fatalities (UCDP)</t>
  </si>
  <si>
    <t>splag_1_decay_ged_ns_5</t>
  </si>
  <si>
    <t>Number of months since 5 or more non-state fatalities in neighbouring countries</t>
  </si>
  <si>
    <t>bool (&gt;=5), decayed, spatial lag</t>
  </si>
  <si>
    <t xml:space="preserve">Spatial decay of number of months since 5 or more non-state fatalities in neighbouring countries (UCDP) </t>
  </si>
  <si>
    <t>decay_ged_os_100</t>
  </si>
  <si>
    <t>Number of months since 100 or more one-sided fatalities</t>
  </si>
  <si>
    <t>Decay function of number of months since 100 or more one-sided fatalities (UCDP)</t>
  </si>
  <si>
    <t>ged_os_best_sum_nokgi</t>
  </si>
  <si>
    <t xml:space="preserve">VIEWS-adaptation of the UCDP 'best estimate' of fatalities from one-sided violence, aggregated to the VIEWS levels of analysis. </t>
  </si>
  <si>
    <t>decay_ged_os_5</t>
  </si>
  <si>
    <t>Number of months since 5 or more one-sided fatalities</t>
  </si>
  <si>
    <t>Decay function of number of months since 5 or more one-sided fatalities (UCDP)</t>
  </si>
  <si>
    <t>ln_ged_os</t>
  </si>
  <si>
    <t>Log(1 + p) of number of one-sided fatalities (UCDP)</t>
  </si>
  <si>
    <t>ln_ged_os_tlag_1</t>
  </si>
  <si>
    <t>One-month lag of number of one-sided fatalities</t>
  </si>
  <si>
    <t>Log(1 + p), lagged (1)</t>
  </si>
  <si>
    <t>splag_1_decay_ged_os_5</t>
  </si>
  <si>
    <t>Number of months since 5 or more one-sided fatalities in neighbouring countries</t>
  </si>
  <si>
    <t xml:space="preserve">Spatial decay of number of months since 5 or more one-sided fatalities in neighbouring countries (UCDP) </t>
  </si>
  <si>
    <t>decay_ged_sb_100</t>
  </si>
  <si>
    <t>Number of months since 100 or more state-based fatalities</t>
  </si>
  <si>
    <t>Decay function of number of months since 100 or more state-based fatalities (UCDP)</t>
  </si>
  <si>
    <t>ged_sb_best_sum_nokgi</t>
  </si>
  <si>
    <t xml:space="preserve">VIEWS-adaptation of the UCDP 'best estimate' of fatalities from state-based conflict, aggregated to the VIEWS levels of analysis. </t>
  </si>
  <si>
    <t>decay_ged_sb_5</t>
  </si>
  <si>
    <t>Number of months since 5 or more state-based fatalities</t>
  </si>
  <si>
    <t>Decay function of number of months since 5 or more state-based fatalities (UCDP)</t>
  </si>
  <si>
    <t>decay_ged_sb_500</t>
  </si>
  <si>
    <t>Number of months since 500 or more state-based fatalities</t>
  </si>
  <si>
    <t>bool (&gt;=500), decayed</t>
  </si>
  <si>
    <t>Decay function of number of months since 500 or more state-based fatalities (UCDP)</t>
  </si>
  <si>
    <t>ln_ged_sb</t>
  </si>
  <si>
    <t>Log(1 + p) of number of state-based fatalities (UCDP)</t>
  </si>
  <si>
    <t>ln_ged_sb_dep</t>
  </si>
  <si>
    <t>ln_ged_sb_tlag_1</t>
  </si>
  <si>
    <t xml:space="preserve">1-month lag of number of state-based fatalities </t>
  </si>
  <si>
    <t>1 month lag of log(1 + p) of number of state-based fatalities (UCDP)</t>
  </si>
  <si>
    <t>ln_ged_sb_tlag_2</t>
  </si>
  <si>
    <t>2-month lag of number of state-based fatalities</t>
  </si>
  <si>
    <t>Log(1 + p), lagged (2)</t>
  </si>
  <si>
    <t>2 month lag of log(1 + p) of number of state-based fatalities (UCDP)</t>
  </si>
  <si>
    <t>ln_ged_sb_tlag_3</t>
  </si>
  <si>
    <t>3-month lag of number of state-based fatalities</t>
  </si>
  <si>
    <t>Log(1 + p), lagged (3)</t>
  </si>
  <si>
    <t>3 month lag of log(1 + p) of number of state-based fatalities (UCDP)</t>
  </si>
  <si>
    <t>ln_ged_sb_tlag_4</t>
  </si>
  <si>
    <t>4-month lag of number of state-based fatalities</t>
  </si>
  <si>
    <t>Log(1 + p), lagged (4)</t>
  </si>
  <si>
    <t>4 month lag of log(1 + p) of number of state-based fatalities (UCDP)</t>
  </si>
  <si>
    <t>ln_ged_sb_tlag_5</t>
  </si>
  <si>
    <t>5-month lag of number of state-based fatalities</t>
  </si>
  <si>
    <t>Log(1 + p), lagged (5)</t>
  </si>
  <si>
    <t>5 month lag of log(1 + p) of number of state-based fatalities (UCDP)</t>
  </si>
  <si>
    <t>ln_ged_sb_tlag_6</t>
  </si>
  <si>
    <t>6-month lag of number of state-based fatalities</t>
  </si>
  <si>
    <t>Log(1 + p), lagged (6)</t>
  </si>
  <si>
    <t>6 month lag of log(1 + p) of number of state-based fatalities (UCDP)</t>
  </si>
  <si>
    <t>ln_ged_sb_tsum_24</t>
  </si>
  <si>
    <t>Number of state-based fatalities in last 2 years</t>
  </si>
  <si>
    <t>Sum(24 months), log(1 + p)</t>
  </si>
  <si>
    <t>24-month moving sum of log(1 + p) of number of state-based fatalities (UCDP)</t>
  </si>
  <si>
    <t>splag_1_decay_ged_sb_5</t>
  </si>
  <si>
    <t>Number of months since 5 or more state-based fatalities in neighbouring countries</t>
  </si>
  <si>
    <t xml:space="preserve">Spatial decay of number of months since 5 or more state-based fatalities in neighbouring countries (UCDP) </t>
  </si>
  <si>
    <t>reign_tenure_months</t>
  </si>
  <si>
    <t>Number of months the leader has been in power in his or her present spell</t>
  </si>
  <si>
    <t xml:space="preserve">- </t>
  </si>
  <si>
    <t>tenure_months</t>
  </si>
  <si>
    <t>The Rulers, Elections, and Irregular Governance (REIGN) Dataset (2020)</t>
  </si>
  <si>
    <t>https://raw.githubusercontent.com/OEFDataScience/REIGN.github.io/gh-pages/documents/REIGN_CODEBOOK.pdf</t>
  </si>
  <si>
    <t>https://oefdatascience.github.io/REIGN.github.io/menu/reign_current.html</t>
  </si>
  <si>
    <t>topic_ste_theta2_stock_t1</t>
  </si>
  <si>
    <t>1 month lag of news topics share for military and diplomacy</t>
  </si>
  <si>
    <t>Lagged (1)</t>
  </si>
  <si>
    <t>topic_ste_theta2_stock</t>
  </si>
  <si>
    <t>News text analysis military and diplomacy</t>
  </si>
  <si>
    <t>Conflict Forecast (CF)</t>
  </si>
  <si>
    <t>https://conflictforecast.org/downloads</t>
  </si>
  <si>
    <t>topic_ste_theta2_stock_t13</t>
  </si>
  <si>
    <t>13 month lag of news topics share for military and diplomacy</t>
  </si>
  <si>
    <t>Lagged (13)</t>
  </si>
  <si>
    <t>topic_ste_theta2_stock_t1_splag</t>
  </si>
  <si>
    <t>1 month lag of news topics share for military and diplomacy in neighbouring countries</t>
  </si>
  <si>
    <t>Spatial lag</t>
  </si>
  <si>
    <t>topic_ste_theta2_stock_t2</t>
  </si>
  <si>
    <t>2 month lag of news topics share for military and diplomacy</t>
  </si>
  <si>
    <t>Lagged (2)</t>
  </si>
  <si>
    <t>topic_ste_theta4_stock_t1</t>
  </si>
  <si>
    <t>1 month lag of news topics share for economics</t>
  </si>
  <si>
    <t>topic_ste_theta4_stock</t>
  </si>
  <si>
    <t>News text analysis economics</t>
  </si>
  <si>
    <t>topic_ste_theta4_stock_t13</t>
  </si>
  <si>
    <t>13 month lag of news topics share for economics</t>
  </si>
  <si>
    <t>topic_ste_theta4_stock_t1_splag</t>
  </si>
  <si>
    <t>1 month lag of news topics share for economics in neighbouring countries</t>
  </si>
  <si>
    <t>topic_ste_theta4_stock_t2</t>
  </si>
  <si>
    <t>2 month lag of news topics share for economics</t>
  </si>
  <si>
    <t>topic_tokens_t1</t>
  </si>
  <si>
    <t>1 month lag of number of topic tokens</t>
  </si>
  <si>
    <t>topic_tokens</t>
  </si>
  <si>
    <t>News text analysis number of tokens</t>
  </si>
  <si>
    <t>topic_tokens_t2</t>
  </si>
  <si>
    <t>2 month lag of number of topic tokens</t>
  </si>
  <si>
    <t>vdem_v2clrgunev</t>
  </si>
  <si>
    <t>Lagged (12)</t>
  </si>
  <si>
    <t>12 month lag of subnational civil liberties unevenness</t>
  </si>
  <si>
    <t>Subnational civil liberties unevenness</t>
  </si>
  <si>
    <t>Varieties of Democracy Project (V-Dem)</t>
  </si>
  <si>
    <t>https://www.v-dem.net/documents/55/codebook.pdf</t>
  </si>
  <si>
    <t>https://www.v-dem.net/data/the-v-dem-dataset/</t>
  </si>
  <si>
    <t>splag_vdem_v2x_accountability</t>
  </si>
  <si>
    <t>Accountability index in neighbouring countries</t>
  </si>
  <si>
    <t>Lagged (12), spatial lag</t>
  </si>
  <si>
    <t>12 month lag of accountability index in neighbouring countries</t>
  </si>
  <si>
    <t>vdem_v2x_accountability</t>
  </si>
  <si>
    <t>Accountability index</t>
  </si>
  <si>
    <t>12 month lag of accountability index</t>
  </si>
  <si>
    <t>vdem_v2x_civlib</t>
  </si>
  <si>
    <t xml:space="preserve">Civil liberties index </t>
  </si>
  <si>
    <t>vdem_v2x_clphy</t>
  </si>
  <si>
    <t xml:space="preserve">Physical violence index </t>
  </si>
  <si>
    <t>vdem_v2x_cspart</t>
  </si>
  <si>
    <t>Civil society participation index</t>
  </si>
  <si>
    <t>vdem_v2x_delibdem</t>
  </si>
  <si>
    <t xml:space="preserve">Deliberative democracy index </t>
  </si>
  <si>
    <t>vdem_v2x_diagacc</t>
  </si>
  <si>
    <t xml:space="preserve">Diagonal accountability index </t>
  </si>
  <si>
    <t>vdem_v2x_divparctrl</t>
  </si>
  <si>
    <t>Divided party control index</t>
  </si>
  <si>
    <t>vdem_v2x_edcomp_thick</t>
  </si>
  <si>
    <t>Electoral component index</t>
  </si>
  <si>
    <t>vdem_v2x_egal</t>
  </si>
  <si>
    <t xml:space="preserve">Egalitarian component index </t>
  </si>
  <si>
    <t>vdem_v2x_egaldem</t>
  </si>
  <si>
    <t xml:space="preserve">Egalitarian democracy index </t>
  </si>
  <si>
    <t>vdem_v2x_ex_military</t>
  </si>
  <si>
    <t>Military dimension index</t>
  </si>
  <si>
    <t>vdem_v2x_ex_party</t>
  </si>
  <si>
    <t>Ruling party dimension index</t>
  </si>
  <si>
    <t>vdem_v2x_execorr</t>
  </si>
  <si>
    <t>Executive corruption index</t>
  </si>
  <si>
    <t>vdem_v2x_frassoc_thick</t>
  </si>
  <si>
    <t xml:space="preserve">Freedom of association thick index </t>
  </si>
  <si>
    <t>vdem_v2x_freexp</t>
  </si>
  <si>
    <t xml:space="preserve">Freedom of expression index </t>
  </si>
  <si>
    <t>vdem_v2x_gencs</t>
  </si>
  <si>
    <t xml:space="preserve">Women civil society participation index </t>
  </si>
  <si>
    <t>vdem_v2x_gender</t>
  </si>
  <si>
    <t xml:space="preserve">Women political empowerment index </t>
  </si>
  <si>
    <t>vdem_v2x_genpp</t>
  </si>
  <si>
    <t>Women political participation index</t>
  </si>
  <si>
    <t>vdem_v2x_horacc</t>
  </si>
  <si>
    <t>Horizontal accountability index</t>
  </si>
  <si>
    <t>vdem_v2x_hosabort</t>
  </si>
  <si>
    <t>Presidential election aborted</t>
  </si>
  <si>
    <t>splag_vdem_v2x_libdem</t>
  </si>
  <si>
    <t>Liberal democracy index in neighbouring countries</t>
  </si>
  <si>
    <t>12 month lag of liberal democracy index in neighbouring countries</t>
  </si>
  <si>
    <t>vdem_v2x_libdem</t>
  </si>
  <si>
    <t>Liberal democracy index</t>
  </si>
  <si>
    <t>vdem_v2x_libdem_48</t>
  </si>
  <si>
    <t>Liberal democracy index (5 years ago)</t>
  </si>
  <si>
    <t>Lagged (60)</t>
  </si>
  <si>
    <t>60 month lag of liberal democracy index</t>
  </si>
  <si>
    <t>vdem_v2x_neopat</t>
  </si>
  <si>
    <t xml:space="preserve">Neopatrimonial Rule Index </t>
  </si>
  <si>
    <t>vdem_v2x_partip</t>
  </si>
  <si>
    <t>Participatory component index</t>
  </si>
  <si>
    <t>vdem_v2x_partipdem</t>
  </si>
  <si>
    <t xml:space="preserve">Participatory democracy index </t>
  </si>
  <si>
    <t>vdem_v2x_pubcorr</t>
  </si>
  <si>
    <t>Public sector corruption index</t>
  </si>
  <si>
    <t>vdem_v2x_rule</t>
  </si>
  <si>
    <t>Rule of law index</t>
  </si>
  <si>
    <t>vdem_v2x_veracc</t>
  </si>
  <si>
    <t>Vertical accountability index</t>
  </si>
  <si>
    <t>vdem_v2xcl_acjst</t>
  </si>
  <si>
    <t>Access to justice</t>
  </si>
  <si>
    <t>splag_vdem_v2xcl_dmove</t>
  </si>
  <si>
    <t>Freedom of domestic movement in neighbouring countries</t>
  </si>
  <si>
    <t>12 month lag of freedom of domestic movement in neighbouring countries</t>
  </si>
  <si>
    <t>vdem_v2xcl_dmove</t>
  </si>
  <si>
    <t xml:space="preserve">Freedom of domestic movement </t>
  </si>
  <si>
    <t>vdem_v2xcl_prpty</t>
  </si>
  <si>
    <t>Property rights</t>
  </si>
  <si>
    <t>splag_vdem_v2xcl_rol</t>
  </si>
  <si>
    <t>Equality before the law and individual liberty index in neighbouring countries</t>
  </si>
  <si>
    <t>12 month lag of equality before the law and individual liberty index in neighbouring countries</t>
  </si>
  <si>
    <t>vdem_v2xcl_rol</t>
  </si>
  <si>
    <t>Equality before the law and individual liberty index</t>
  </si>
  <si>
    <t>vdem_v2xcl_slave</t>
  </si>
  <si>
    <t>Freedom from forced labor</t>
  </si>
  <si>
    <t>vdem_v2xcs_ccsi</t>
  </si>
  <si>
    <t xml:space="preserve">Core civil society index </t>
  </si>
  <si>
    <t>vdem_v2xdd_dd</t>
  </si>
  <si>
    <t>Direct popular vote index</t>
  </si>
  <si>
    <t>vdem_v2xdl_delib</t>
  </si>
  <si>
    <t>Deliberative component index</t>
  </si>
  <si>
    <t>vdem_v2xeg_eqaccess</t>
  </si>
  <si>
    <t xml:space="preserve">Equal access index </t>
  </si>
  <si>
    <t>vdem_v2xeg_eqdr</t>
  </si>
  <si>
    <t>Equal distribution of resources index</t>
  </si>
  <si>
    <t>vdem_v2xeg_eqprotec</t>
  </si>
  <si>
    <t xml:space="preserve">Equal protection index </t>
  </si>
  <si>
    <t>vdem_v2xel_frefair</t>
  </si>
  <si>
    <t xml:space="preserve">Clean elections index </t>
  </si>
  <si>
    <t>vdem_v2xel_regelec</t>
  </si>
  <si>
    <t>Regional government index</t>
  </si>
  <si>
    <t>vdem_v2xme_altinf</t>
  </si>
  <si>
    <t>Alternative sources of information index</t>
  </si>
  <si>
    <t>vdem_v2xnp_client</t>
  </si>
  <si>
    <t>Clientelism Index</t>
  </si>
  <si>
    <t>vdem_v2xnp_pres</t>
  </si>
  <si>
    <t>Presidentialism Index</t>
  </si>
  <si>
    <t>vdem_v2xnp_regcorr</t>
  </si>
  <si>
    <t>Regime corruption</t>
  </si>
  <si>
    <t>vdem_v2xpe_exlecon</t>
  </si>
  <si>
    <t>Exclusion by Socio-Economic Group</t>
  </si>
  <si>
    <t>vdem_v2xpe_exlgender</t>
  </si>
  <si>
    <t>Exclusion by Gender index</t>
  </si>
  <si>
    <t>vdem_v2xpe_exlgeo</t>
  </si>
  <si>
    <t>Exclusion by Urban-Rural Location index</t>
  </si>
  <si>
    <t>vdem_v2xpe_exlpol</t>
  </si>
  <si>
    <t xml:space="preserve"> Exclusion by Political Group index </t>
  </si>
  <si>
    <t>splag_vdem_v2xpe_exlsocgr</t>
  </si>
  <si>
    <t>Exclusion by Social Group index in neighbouring countries</t>
  </si>
  <si>
    <t>12 month lag of exclusion by social group index in neighbouring countries</t>
  </si>
  <si>
    <t>vdem_v2xpe_exlsocgr</t>
  </si>
  <si>
    <t>Exclusion by Social Group index</t>
  </si>
  <si>
    <t>vdem_v2xps_party</t>
  </si>
  <si>
    <t>Party institutionalization index</t>
  </si>
  <si>
    <t>splag_wdi_ag_lnd_frst_k2</t>
  </si>
  <si>
    <t>Forest area in neighbouring countries</t>
  </si>
  <si>
    <t>12 month lag of forest area (sq. km) in neighbouring countries</t>
  </si>
  <si>
    <t>wdi_ag_lnd_frst_k2</t>
  </si>
  <si>
    <t>Forest area (sq. km)</t>
  </si>
  <si>
    <t>World Development Indicators</t>
  </si>
  <si>
    <t>https://databank.worldbank.org/source/world-development-indicators</t>
  </si>
  <si>
    <t xml:space="preserve">Forest area </t>
  </si>
  <si>
    <t>wdi_dt_oda_odat_pc_zs</t>
  </si>
  <si>
    <t>Net official development assistance per capita</t>
  </si>
  <si>
    <t>Net ODA received per capita (current US$)</t>
  </si>
  <si>
    <t>wdi_ms_mil_xpnd_gd_zs</t>
  </si>
  <si>
    <t>Military expenditure (%GDP)</t>
  </si>
  <si>
    <t>Military expenditure by country as percentage of gross domestic product</t>
  </si>
  <si>
    <t>wdi_ms_mil_xpnd_zs</t>
  </si>
  <si>
    <t>Military expenditure (%GGE)</t>
  </si>
  <si>
    <t>Military expenditure expressed as a percentage of general government expenditure</t>
  </si>
  <si>
    <t>wdi_nv_agr_totl_kd</t>
  </si>
  <si>
    <t>Agriculture, forestry, and fishing, value added (USD)</t>
  </si>
  <si>
    <t>Agriculture, forestry, and fishing, value added (constant 2015 US$)</t>
  </si>
  <si>
    <t>wdi_nv_agr_totl_kn</t>
  </si>
  <si>
    <t>Agriculture, forestry, and fishing, value added (LCU)</t>
  </si>
  <si>
    <t>Agriculture, forestry, and fishing, value added (constant LCU)</t>
  </si>
  <si>
    <t>wdi_ny_gdp_mktp_kd</t>
  </si>
  <si>
    <t>GDP</t>
  </si>
  <si>
    <t>GDP (constant 2015 US$)</t>
  </si>
  <si>
    <t>wdi_ny_gdp_pcap_kd</t>
  </si>
  <si>
    <t>GDP per capita</t>
  </si>
  <si>
    <t>GDP per capita (constant 2015 US$)</t>
  </si>
  <si>
    <t>wdi_se_enr_prim_fm_zs</t>
  </si>
  <si>
    <t>Primary school enrollment, gender ratio</t>
  </si>
  <si>
    <t>School enrollment, primary (gross), gender parity index (GPI)</t>
  </si>
  <si>
    <t>wdi_se_enr_prsc_fm_zs</t>
  </si>
  <si>
    <t>Primary and secondary school enrollment, gender ratio</t>
  </si>
  <si>
    <t>School enrollment, primary and secondary (gross), gender parity index (GPI)</t>
  </si>
  <si>
    <t>wdi_se_prm_nenr</t>
  </si>
  <si>
    <t>Primary school enrollment</t>
  </si>
  <si>
    <t>School enrollment, primary (% net)</t>
  </si>
  <si>
    <t>wdi_sh_dyn_mort_fe</t>
  </si>
  <si>
    <t>Female child (under 5) mortality rate</t>
  </si>
  <si>
    <t>Mortality rate, under-5, female (per 1,000 live births)</t>
  </si>
  <si>
    <t>wdi_sh_sta_maln_zs</t>
  </si>
  <si>
    <t>Prevalence of underweight in children under 5</t>
  </si>
  <si>
    <t>Prevalence of underweight, weight for age (% of children under 5)</t>
  </si>
  <si>
    <t>wdi_sh_sta_stnt_zs</t>
  </si>
  <si>
    <t>Prevalence of stunting in children under 5</t>
  </si>
  <si>
    <t>Prevalence of stunting, height for age (% of children under 5)</t>
  </si>
  <si>
    <t>splag_wdi_sl_tlf_totl_fe_zs</t>
  </si>
  <si>
    <t>Female labor force in neighbouring countries</t>
  </si>
  <si>
    <t>12 month lag of labor force, female (% of total labor force) in neighbouring countries</t>
  </si>
  <si>
    <t>wdi_sl_tlf_totl_fe_zs</t>
  </si>
  <si>
    <t>Labor force, female (% of total labor force)</t>
  </si>
  <si>
    <t>Female labor force</t>
  </si>
  <si>
    <t>splag_wdi_sm_pop_netm</t>
  </si>
  <si>
    <t>Net migration in neighbouring countries</t>
  </si>
  <si>
    <t>12 month lag of net migration in neighbouring countries</t>
  </si>
  <si>
    <t>wdi_sm_pop_netm</t>
  </si>
  <si>
    <t>Net migration</t>
  </si>
  <si>
    <t>splag_wdi_sm_pop_refg_or</t>
  </si>
  <si>
    <t>Refugee population in neighbouring countries</t>
  </si>
  <si>
    <t>12 month lag of refugee population by country or territory of origin in neighbouring countries</t>
  </si>
  <si>
    <t>wdi_sm_pop_refg_or</t>
  </si>
  <si>
    <t>Refugee population by country or territory of origin</t>
  </si>
  <si>
    <t>Refugee population</t>
  </si>
  <si>
    <t>wdi_sm_pop_totl_zs</t>
  </si>
  <si>
    <t>International migrants</t>
  </si>
  <si>
    <t>International migrant stock (% of population)</t>
  </si>
  <si>
    <t>wdi_sp_dyn_imrt_fe_in</t>
  </si>
  <si>
    <t>Female Infant mortality rate</t>
  </si>
  <si>
    <t>Mortality rate, infant, female (per 1,000 live births)</t>
  </si>
  <si>
    <t>wdi_sp_dyn_imrt_in</t>
  </si>
  <si>
    <t>Infant mortality rate</t>
  </si>
  <si>
    <t>Mortality rate, infant (per 1,000 live births)</t>
  </si>
  <si>
    <t>wdi_sp_dyn_le00_in</t>
  </si>
  <si>
    <t>Life expectancy</t>
  </si>
  <si>
    <t>Life expectancy at birth, total (years)</t>
  </si>
  <si>
    <t>wdi_sp_pop_14_fe_zs</t>
  </si>
  <si>
    <t>Female population under 14</t>
  </si>
  <si>
    <t>wdi_sp_pop_0014_fe_zs</t>
  </si>
  <si>
    <t>Population ages 0-14, female (% of female population)</t>
  </si>
  <si>
    <t>wdi_sp_pop_1564_fe_zs</t>
  </si>
  <si>
    <t>Female population between 14-65</t>
  </si>
  <si>
    <t>Population ages 15-64, female (% of female population)</t>
  </si>
  <si>
    <t>wdi_sp_pop_65up_fe_zs</t>
  </si>
  <si>
    <t>Female population over 65</t>
  </si>
  <si>
    <t>Population ages 65 and above, female (% of female population)</t>
  </si>
  <si>
    <t>wdi_sp_pop_grow</t>
  </si>
  <si>
    <t>Population growth</t>
  </si>
  <si>
    <t>Population growth (annual %)</t>
  </si>
  <si>
    <t>wdi_sp_pop_totl</t>
  </si>
  <si>
    <t>Total population</t>
  </si>
  <si>
    <t>Population, total</t>
  </si>
  <si>
    <t>wdi_sp_urb_totl_in_zs</t>
  </si>
  <si>
    <t>Urban population</t>
  </si>
  <si>
    <t>Urban population (% of total population)</t>
  </si>
  <si>
    <t>One-month lag of log(1 + p) number of one-sided fatalities (UCDP)</t>
  </si>
  <si>
    <t>Short source</t>
  </si>
  <si>
    <t>REIGN</t>
  </si>
  <si>
    <t>CF</t>
  </si>
  <si>
    <t>V-dem</t>
  </si>
  <si>
    <t>WDI</t>
  </si>
  <si>
    <t>UCDP/VIEWS</t>
  </si>
  <si>
    <t>ACLED/VIEWS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</si>
</sst>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rgb="FFD0E0E3"/>
      </patternFill>
    </fill>
    <fill>
      <patternFill patternType="solid">
        <fgColor theme="8" tint="0.79998168889431442"/>
        <bgColor rgb="FFD0E0E3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rgb="FFD0E0E3"/>
      </patternFill>
    </fill>
    <fill>
      <patternFill patternType="solid">
        <fgColor theme="4" tint="0.59999389629810485"/>
        <bgColor rgb="FFD0E0E3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2" tint="-0.249977111117893"/>
        <bgColor rgb="FFD9EAD3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v-dem.net/documents/55/codebook.pdf" TargetMode="External"/><Relationship Id="rId21" Type="http://schemas.openxmlformats.org/officeDocument/2006/relationships/hyperlink" Target="https://www.uu.se/en/department/peace-and-conflict-research/research/ucdp/ucdp-definitions" TargetMode="External"/><Relationship Id="rId42" Type="http://schemas.openxmlformats.org/officeDocument/2006/relationships/hyperlink" Target="https://ucdp.uu.se/downloads/" TargetMode="External"/><Relationship Id="rId63" Type="http://schemas.openxmlformats.org/officeDocument/2006/relationships/hyperlink" Target="https://conflictforecast.org/downloads" TargetMode="External"/><Relationship Id="rId84" Type="http://schemas.openxmlformats.org/officeDocument/2006/relationships/hyperlink" Target="https://www.v-dem.net/data/the-v-dem-dataset/" TargetMode="External"/><Relationship Id="rId138" Type="http://schemas.openxmlformats.org/officeDocument/2006/relationships/hyperlink" Target="https://www.v-dem.net/data/the-v-dem-dataset/" TargetMode="External"/><Relationship Id="rId159" Type="http://schemas.openxmlformats.org/officeDocument/2006/relationships/hyperlink" Target="https://www.v-dem.net/documents/55/codebook.pdf" TargetMode="External"/><Relationship Id="rId170" Type="http://schemas.openxmlformats.org/officeDocument/2006/relationships/hyperlink" Target="https://www.v-dem.net/data/the-v-dem-dataset/" TargetMode="External"/><Relationship Id="rId191" Type="http://schemas.openxmlformats.org/officeDocument/2006/relationships/hyperlink" Target="https://www.v-dem.net/documents/55/codebook.pdf" TargetMode="External"/><Relationship Id="rId205" Type="http://schemas.openxmlformats.org/officeDocument/2006/relationships/hyperlink" Target="https://databank.worldbank.org/source/world-development-indicators" TargetMode="External"/><Relationship Id="rId107" Type="http://schemas.openxmlformats.org/officeDocument/2006/relationships/hyperlink" Target="https://www.v-dem.net/documents/55/codebook.pdf" TargetMode="External"/><Relationship Id="rId11" Type="http://schemas.openxmlformats.org/officeDocument/2006/relationships/hyperlink" Target="https://acleddata.com/conflict-data" TargetMode="External"/><Relationship Id="rId32" Type="http://schemas.openxmlformats.org/officeDocument/2006/relationships/hyperlink" Target="https://ucdp.uu.se/downloads/" TargetMode="External"/><Relationship Id="rId53" Type="http://schemas.openxmlformats.org/officeDocument/2006/relationships/hyperlink" Target="https://www.uu.se/en/department/peace-and-conflict-research/research/ucdp/ucdp-definitions" TargetMode="External"/><Relationship Id="rId74" Type="http://schemas.openxmlformats.org/officeDocument/2006/relationships/hyperlink" Target="https://conflictforecast.org/downloads" TargetMode="External"/><Relationship Id="rId128" Type="http://schemas.openxmlformats.org/officeDocument/2006/relationships/hyperlink" Target="https://www.v-dem.net/data/the-v-dem-dataset/" TargetMode="External"/><Relationship Id="rId149" Type="http://schemas.openxmlformats.org/officeDocument/2006/relationships/hyperlink" Target="https://www.v-dem.net/documents/55/codebook.pdf" TargetMode="External"/><Relationship Id="rId5" Type="http://schemas.openxmlformats.org/officeDocument/2006/relationships/hyperlink" Target="https://acleddata.com/conflict-data" TargetMode="External"/><Relationship Id="rId95" Type="http://schemas.openxmlformats.org/officeDocument/2006/relationships/hyperlink" Target="https://www.v-dem.net/documents/55/codebook.pdf" TargetMode="External"/><Relationship Id="rId160" Type="http://schemas.openxmlformats.org/officeDocument/2006/relationships/hyperlink" Target="https://www.v-dem.net/data/the-v-dem-dataset/" TargetMode="External"/><Relationship Id="rId181" Type="http://schemas.openxmlformats.org/officeDocument/2006/relationships/hyperlink" Target="https://www.v-dem.net/documents/55/codebook.pdf" TargetMode="External"/><Relationship Id="rId216" Type="http://schemas.openxmlformats.org/officeDocument/2006/relationships/hyperlink" Target="https://databank.worldbank.org/source/world-development-indicators" TargetMode="External"/><Relationship Id="rId22" Type="http://schemas.openxmlformats.org/officeDocument/2006/relationships/hyperlink" Target="https://ucdp.uu.se/downloads/" TargetMode="External"/><Relationship Id="rId43" Type="http://schemas.openxmlformats.org/officeDocument/2006/relationships/hyperlink" Target="https://www.uu.se/en/department/peace-and-conflict-research/research/ucdp/ucdp-definitions" TargetMode="External"/><Relationship Id="rId64" Type="http://schemas.openxmlformats.org/officeDocument/2006/relationships/hyperlink" Target="https://conflictforecast.org/downloads" TargetMode="External"/><Relationship Id="rId118" Type="http://schemas.openxmlformats.org/officeDocument/2006/relationships/hyperlink" Target="https://www.v-dem.net/data/the-v-dem-dataset/" TargetMode="External"/><Relationship Id="rId139" Type="http://schemas.openxmlformats.org/officeDocument/2006/relationships/hyperlink" Target="https://www.v-dem.net/documents/55/codebook.pdf" TargetMode="External"/><Relationship Id="rId85" Type="http://schemas.openxmlformats.org/officeDocument/2006/relationships/hyperlink" Target="https://www.v-dem.net/documents/55/codebook.pdf" TargetMode="External"/><Relationship Id="rId150" Type="http://schemas.openxmlformats.org/officeDocument/2006/relationships/hyperlink" Target="https://www.v-dem.net/data/the-v-dem-dataset/" TargetMode="External"/><Relationship Id="rId171" Type="http://schemas.openxmlformats.org/officeDocument/2006/relationships/hyperlink" Target="https://www.v-dem.net/documents/55/codebook.pdf" TargetMode="External"/><Relationship Id="rId192" Type="http://schemas.openxmlformats.org/officeDocument/2006/relationships/hyperlink" Target="https://www.v-dem.net/data/the-v-dem-dataset/" TargetMode="External"/><Relationship Id="rId206" Type="http://schemas.openxmlformats.org/officeDocument/2006/relationships/hyperlink" Target="https://databank.worldbank.org/source/world-development-indicators" TargetMode="External"/><Relationship Id="rId12" Type="http://schemas.openxmlformats.org/officeDocument/2006/relationships/hyperlink" Target="https://acleddata.com/conflict-data" TargetMode="External"/><Relationship Id="rId33" Type="http://schemas.openxmlformats.org/officeDocument/2006/relationships/hyperlink" Target="https://www.uu.se/en/department/peace-and-conflict-research/research/ucdp/ucdp-definitions" TargetMode="External"/><Relationship Id="rId108" Type="http://schemas.openxmlformats.org/officeDocument/2006/relationships/hyperlink" Target="https://www.v-dem.net/data/the-v-dem-dataset/" TargetMode="External"/><Relationship Id="rId129" Type="http://schemas.openxmlformats.org/officeDocument/2006/relationships/hyperlink" Target="https://www.v-dem.net/documents/55/codebook.pdf" TargetMode="External"/><Relationship Id="rId54" Type="http://schemas.openxmlformats.org/officeDocument/2006/relationships/hyperlink" Target="https://ucdp.uu.se/downloads/" TargetMode="External"/><Relationship Id="rId75" Type="http://schemas.openxmlformats.org/officeDocument/2006/relationships/hyperlink" Target="https://conflictforecast.org/downloads" TargetMode="External"/><Relationship Id="rId96" Type="http://schemas.openxmlformats.org/officeDocument/2006/relationships/hyperlink" Target="https://www.v-dem.net/data/the-v-dem-dataset/" TargetMode="External"/><Relationship Id="rId140" Type="http://schemas.openxmlformats.org/officeDocument/2006/relationships/hyperlink" Target="https://www.v-dem.net/data/the-v-dem-dataset/" TargetMode="External"/><Relationship Id="rId161" Type="http://schemas.openxmlformats.org/officeDocument/2006/relationships/hyperlink" Target="https://www.v-dem.net/documents/55/codebook.pdf" TargetMode="External"/><Relationship Id="rId182" Type="http://schemas.openxmlformats.org/officeDocument/2006/relationships/hyperlink" Target="https://www.v-dem.net/data/the-v-dem-dataset/" TargetMode="External"/><Relationship Id="rId217" Type="http://schemas.openxmlformats.org/officeDocument/2006/relationships/hyperlink" Target="https://databank.worldbank.org/source/world-development-indicators" TargetMode="External"/><Relationship Id="rId6" Type="http://schemas.openxmlformats.org/officeDocument/2006/relationships/hyperlink" Target="https://acleddata.com/conflict-data" TargetMode="External"/><Relationship Id="rId23" Type="http://schemas.openxmlformats.org/officeDocument/2006/relationships/hyperlink" Target="https://www.uu.se/en/department/peace-and-conflict-research/research/ucdp/ucdp-definitions" TargetMode="External"/><Relationship Id="rId119" Type="http://schemas.openxmlformats.org/officeDocument/2006/relationships/hyperlink" Target="https://www.v-dem.net/documents/55/codebook.pdf" TargetMode="External"/><Relationship Id="rId44" Type="http://schemas.openxmlformats.org/officeDocument/2006/relationships/hyperlink" Target="https://ucdp.uu.se/downloads/" TargetMode="External"/><Relationship Id="rId65" Type="http://schemas.openxmlformats.org/officeDocument/2006/relationships/hyperlink" Target="https://conflictforecast.org/downloads" TargetMode="External"/><Relationship Id="rId86" Type="http://schemas.openxmlformats.org/officeDocument/2006/relationships/hyperlink" Target="https://www.v-dem.net/data/the-v-dem-dataset/" TargetMode="External"/><Relationship Id="rId130" Type="http://schemas.openxmlformats.org/officeDocument/2006/relationships/hyperlink" Target="https://www.v-dem.net/data/the-v-dem-dataset/" TargetMode="External"/><Relationship Id="rId151" Type="http://schemas.openxmlformats.org/officeDocument/2006/relationships/hyperlink" Target="https://www.v-dem.net/documents/55/codebook.pdf" TargetMode="External"/><Relationship Id="rId172" Type="http://schemas.openxmlformats.org/officeDocument/2006/relationships/hyperlink" Target="https://www.v-dem.net/data/the-v-dem-dataset/" TargetMode="External"/><Relationship Id="rId193" Type="http://schemas.openxmlformats.org/officeDocument/2006/relationships/hyperlink" Target="https://databank.worldbank.org/source/world-development-indicators" TargetMode="External"/><Relationship Id="rId207" Type="http://schemas.openxmlformats.org/officeDocument/2006/relationships/hyperlink" Target="https://databank.worldbank.org/source/world-development-indicators" TargetMode="External"/><Relationship Id="rId13" Type="http://schemas.openxmlformats.org/officeDocument/2006/relationships/hyperlink" Target="https://www.uu.se/en/department/peace-and-conflict-research/research/ucdp/ucdp-definitions" TargetMode="External"/><Relationship Id="rId109" Type="http://schemas.openxmlformats.org/officeDocument/2006/relationships/hyperlink" Target="https://www.v-dem.net/documents/55/codebook.pdf" TargetMode="External"/><Relationship Id="rId34" Type="http://schemas.openxmlformats.org/officeDocument/2006/relationships/hyperlink" Target="https://ucdp.uu.se/downloads/" TargetMode="External"/><Relationship Id="rId55" Type="http://schemas.openxmlformats.org/officeDocument/2006/relationships/hyperlink" Target="https://www.uu.se/en/department/peace-and-conflict-research/research/ucdp/ucdp-definitions" TargetMode="External"/><Relationship Id="rId76" Type="http://schemas.openxmlformats.org/officeDocument/2006/relationships/hyperlink" Target="https://conflictforecast.org/downloads" TargetMode="External"/><Relationship Id="rId97" Type="http://schemas.openxmlformats.org/officeDocument/2006/relationships/hyperlink" Target="https://www.v-dem.net/documents/55/codebook.pdf" TargetMode="External"/><Relationship Id="rId120" Type="http://schemas.openxmlformats.org/officeDocument/2006/relationships/hyperlink" Target="https://www.v-dem.net/data/the-v-dem-dataset/" TargetMode="External"/><Relationship Id="rId141" Type="http://schemas.openxmlformats.org/officeDocument/2006/relationships/hyperlink" Target="https://www.v-dem.net/documents/55/codebook.pdf" TargetMode="External"/><Relationship Id="rId7" Type="http://schemas.openxmlformats.org/officeDocument/2006/relationships/hyperlink" Target="https://acleddata.com/conflict-data" TargetMode="External"/><Relationship Id="rId162" Type="http://schemas.openxmlformats.org/officeDocument/2006/relationships/hyperlink" Target="https://www.v-dem.net/data/the-v-dem-dataset/" TargetMode="External"/><Relationship Id="rId183" Type="http://schemas.openxmlformats.org/officeDocument/2006/relationships/hyperlink" Target="https://www.v-dem.net/documents/55/codebook.pdf" TargetMode="External"/><Relationship Id="rId218" Type="http://schemas.openxmlformats.org/officeDocument/2006/relationships/hyperlink" Target="https://databank.worldbank.org/source/world-development-indicators" TargetMode="External"/><Relationship Id="rId24" Type="http://schemas.openxmlformats.org/officeDocument/2006/relationships/hyperlink" Target="https://ucdp.uu.se/downloads/" TargetMode="External"/><Relationship Id="rId45" Type="http://schemas.openxmlformats.org/officeDocument/2006/relationships/hyperlink" Target="https://www.uu.se/en/department/peace-and-conflict-research/research/ucdp/ucdp-definitions" TargetMode="External"/><Relationship Id="rId66" Type="http://schemas.openxmlformats.org/officeDocument/2006/relationships/hyperlink" Target="https://conflictforecast.org/downloads" TargetMode="External"/><Relationship Id="rId87" Type="http://schemas.openxmlformats.org/officeDocument/2006/relationships/hyperlink" Target="https://www.v-dem.net/documents/55/codebook.pdf" TargetMode="External"/><Relationship Id="rId110" Type="http://schemas.openxmlformats.org/officeDocument/2006/relationships/hyperlink" Target="https://www.v-dem.net/data/the-v-dem-dataset/" TargetMode="External"/><Relationship Id="rId131" Type="http://schemas.openxmlformats.org/officeDocument/2006/relationships/hyperlink" Target="https://www.v-dem.net/documents/55/codebook.pdf" TargetMode="External"/><Relationship Id="rId152" Type="http://schemas.openxmlformats.org/officeDocument/2006/relationships/hyperlink" Target="https://www.v-dem.net/data/the-v-dem-dataset/" TargetMode="External"/><Relationship Id="rId173" Type="http://schemas.openxmlformats.org/officeDocument/2006/relationships/hyperlink" Target="https://www.v-dem.net/documents/55/codebook.pdf" TargetMode="External"/><Relationship Id="rId194" Type="http://schemas.openxmlformats.org/officeDocument/2006/relationships/hyperlink" Target="https://databank.worldbank.org/source/world-development-indicators" TargetMode="External"/><Relationship Id="rId208" Type="http://schemas.openxmlformats.org/officeDocument/2006/relationships/hyperlink" Target="https://databank.worldbank.org/source/world-development-indicators" TargetMode="External"/><Relationship Id="rId14" Type="http://schemas.openxmlformats.org/officeDocument/2006/relationships/hyperlink" Target="https://ucdp.uu.se/downloads/" TargetMode="External"/><Relationship Id="rId35" Type="http://schemas.openxmlformats.org/officeDocument/2006/relationships/hyperlink" Target="https://www.uu.se/en/department/peace-and-conflict-research/research/ucdp/ucdp-definitions" TargetMode="External"/><Relationship Id="rId56" Type="http://schemas.openxmlformats.org/officeDocument/2006/relationships/hyperlink" Target="https://ucdp.uu.se/downloads/" TargetMode="External"/><Relationship Id="rId77" Type="http://schemas.openxmlformats.org/officeDocument/2006/relationships/hyperlink" Target="https://conflictforecast.org/downloads" TargetMode="External"/><Relationship Id="rId100" Type="http://schemas.openxmlformats.org/officeDocument/2006/relationships/hyperlink" Target="https://www.v-dem.net/data/the-v-dem-dataset/" TargetMode="External"/><Relationship Id="rId8" Type="http://schemas.openxmlformats.org/officeDocument/2006/relationships/hyperlink" Target="https://acleddata.com/conflict-data" TargetMode="External"/><Relationship Id="rId51" Type="http://schemas.openxmlformats.org/officeDocument/2006/relationships/hyperlink" Target="https://www.uu.se/en/department/peace-and-conflict-research/research/ucdp/ucdp-definitions" TargetMode="External"/><Relationship Id="rId72" Type="http://schemas.openxmlformats.org/officeDocument/2006/relationships/hyperlink" Target="https://conflictforecast.org/downloads" TargetMode="External"/><Relationship Id="rId93" Type="http://schemas.openxmlformats.org/officeDocument/2006/relationships/hyperlink" Target="https://www.v-dem.net/documents/55/codebook.pdf" TargetMode="External"/><Relationship Id="rId98" Type="http://schemas.openxmlformats.org/officeDocument/2006/relationships/hyperlink" Target="https://www.v-dem.net/data/the-v-dem-dataset/" TargetMode="External"/><Relationship Id="rId121" Type="http://schemas.openxmlformats.org/officeDocument/2006/relationships/hyperlink" Target="https://www.v-dem.net/documents/55/codebook.pdf" TargetMode="External"/><Relationship Id="rId142" Type="http://schemas.openxmlformats.org/officeDocument/2006/relationships/hyperlink" Target="https://www.v-dem.net/data/the-v-dem-dataset/" TargetMode="External"/><Relationship Id="rId163" Type="http://schemas.openxmlformats.org/officeDocument/2006/relationships/hyperlink" Target="https://www.v-dem.net/documents/55/codebook.pdf" TargetMode="External"/><Relationship Id="rId184" Type="http://schemas.openxmlformats.org/officeDocument/2006/relationships/hyperlink" Target="https://www.v-dem.net/data/the-v-dem-dataset/" TargetMode="External"/><Relationship Id="rId189" Type="http://schemas.openxmlformats.org/officeDocument/2006/relationships/hyperlink" Target="https://www.v-dem.net/documents/55/codebook.pdf" TargetMode="External"/><Relationship Id="rId219" Type="http://schemas.openxmlformats.org/officeDocument/2006/relationships/hyperlink" Target="https://databank.worldbank.org/source/world-development-indicators" TargetMode="External"/><Relationship Id="rId3" Type="http://schemas.openxmlformats.org/officeDocument/2006/relationships/hyperlink" Target="https://acleddata.com/conflict-data" TargetMode="External"/><Relationship Id="rId214" Type="http://schemas.openxmlformats.org/officeDocument/2006/relationships/hyperlink" Target="https://databank.worldbank.org/source/world-development-indicators" TargetMode="External"/><Relationship Id="rId25" Type="http://schemas.openxmlformats.org/officeDocument/2006/relationships/hyperlink" Target="https://www.uu.se/en/department/peace-and-conflict-research/research/ucdp/ucdp-definitions" TargetMode="External"/><Relationship Id="rId46" Type="http://schemas.openxmlformats.org/officeDocument/2006/relationships/hyperlink" Target="https://ucdp.uu.se/downloads/" TargetMode="External"/><Relationship Id="rId67" Type="http://schemas.openxmlformats.org/officeDocument/2006/relationships/hyperlink" Target="https://conflictforecast.org/downloads" TargetMode="External"/><Relationship Id="rId116" Type="http://schemas.openxmlformats.org/officeDocument/2006/relationships/hyperlink" Target="https://www.v-dem.net/data/the-v-dem-dataset/" TargetMode="External"/><Relationship Id="rId137" Type="http://schemas.openxmlformats.org/officeDocument/2006/relationships/hyperlink" Target="https://www.v-dem.net/documents/55/codebook.pdf" TargetMode="External"/><Relationship Id="rId158" Type="http://schemas.openxmlformats.org/officeDocument/2006/relationships/hyperlink" Target="https://www.v-dem.net/data/the-v-dem-dataset/" TargetMode="External"/><Relationship Id="rId20" Type="http://schemas.openxmlformats.org/officeDocument/2006/relationships/hyperlink" Target="https://ucdp.uu.se/downloads/" TargetMode="External"/><Relationship Id="rId41" Type="http://schemas.openxmlformats.org/officeDocument/2006/relationships/hyperlink" Target="https://www.uu.se/en/department/peace-and-conflict-research/research/ucdp/ucdp-definitions" TargetMode="External"/><Relationship Id="rId62" Type="http://schemas.openxmlformats.org/officeDocument/2006/relationships/hyperlink" Target="https://conflictforecast.org/downloads" TargetMode="External"/><Relationship Id="rId83" Type="http://schemas.openxmlformats.org/officeDocument/2006/relationships/hyperlink" Target="https://www.v-dem.net/documents/55/codebook.pdf" TargetMode="External"/><Relationship Id="rId88" Type="http://schemas.openxmlformats.org/officeDocument/2006/relationships/hyperlink" Target="https://www.v-dem.net/data/the-v-dem-dataset/" TargetMode="External"/><Relationship Id="rId111" Type="http://schemas.openxmlformats.org/officeDocument/2006/relationships/hyperlink" Target="https://www.v-dem.net/documents/55/codebook.pdf" TargetMode="External"/><Relationship Id="rId132" Type="http://schemas.openxmlformats.org/officeDocument/2006/relationships/hyperlink" Target="https://www.v-dem.net/data/the-v-dem-dataset/" TargetMode="External"/><Relationship Id="rId153" Type="http://schemas.openxmlformats.org/officeDocument/2006/relationships/hyperlink" Target="https://www.v-dem.net/documents/55/codebook.pdf" TargetMode="External"/><Relationship Id="rId174" Type="http://schemas.openxmlformats.org/officeDocument/2006/relationships/hyperlink" Target="https://www.v-dem.net/data/the-v-dem-dataset/" TargetMode="External"/><Relationship Id="rId179" Type="http://schemas.openxmlformats.org/officeDocument/2006/relationships/hyperlink" Target="https://www.v-dem.net/documents/55/codebook.pdf" TargetMode="External"/><Relationship Id="rId195" Type="http://schemas.openxmlformats.org/officeDocument/2006/relationships/hyperlink" Target="https://databank.worldbank.org/source/world-development-indicators" TargetMode="External"/><Relationship Id="rId209" Type="http://schemas.openxmlformats.org/officeDocument/2006/relationships/hyperlink" Target="https://databank.worldbank.org/source/world-development-indicators" TargetMode="External"/><Relationship Id="rId190" Type="http://schemas.openxmlformats.org/officeDocument/2006/relationships/hyperlink" Target="https://www.v-dem.net/data/the-v-dem-dataset/" TargetMode="External"/><Relationship Id="rId204" Type="http://schemas.openxmlformats.org/officeDocument/2006/relationships/hyperlink" Target="https://databank.worldbank.org/source/world-development-indicators" TargetMode="External"/><Relationship Id="rId220" Type="http://schemas.openxmlformats.org/officeDocument/2006/relationships/hyperlink" Target="https://databank.worldbank.org/source/world-development-indicators" TargetMode="External"/><Relationship Id="rId15" Type="http://schemas.openxmlformats.org/officeDocument/2006/relationships/hyperlink" Target="https://www.uu.se/en/department/peace-and-conflict-research/research/ucdp/ucdp-definitions" TargetMode="External"/><Relationship Id="rId36" Type="http://schemas.openxmlformats.org/officeDocument/2006/relationships/hyperlink" Target="https://ucdp.uu.se/downloads/" TargetMode="External"/><Relationship Id="rId57" Type="http://schemas.openxmlformats.org/officeDocument/2006/relationships/hyperlink" Target="https://raw.githubusercontent.com/OEFDataScience/REIGN.github.io/gh-pages/documents/REIGN_CODEBOOK.pdf" TargetMode="External"/><Relationship Id="rId106" Type="http://schemas.openxmlformats.org/officeDocument/2006/relationships/hyperlink" Target="https://www.v-dem.net/data/the-v-dem-dataset/" TargetMode="External"/><Relationship Id="rId127" Type="http://schemas.openxmlformats.org/officeDocument/2006/relationships/hyperlink" Target="https://www.v-dem.net/documents/55/codebook.pdf" TargetMode="External"/><Relationship Id="rId10" Type="http://schemas.openxmlformats.org/officeDocument/2006/relationships/hyperlink" Target="https://acleddata.com/conflict-data" TargetMode="External"/><Relationship Id="rId31" Type="http://schemas.openxmlformats.org/officeDocument/2006/relationships/hyperlink" Target="https://www.uu.se/en/department/peace-and-conflict-research/research/ucdp/ucdp-definitions" TargetMode="External"/><Relationship Id="rId52" Type="http://schemas.openxmlformats.org/officeDocument/2006/relationships/hyperlink" Target="https://ucdp.uu.se/downloads/" TargetMode="External"/><Relationship Id="rId73" Type="http://schemas.openxmlformats.org/officeDocument/2006/relationships/hyperlink" Target="https://conflictforecast.org/downloads" TargetMode="External"/><Relationship Id="rId78" Type="http://schemas.openxmlformats.org/officeDocument/2006/relationships/hyperlink" Target="https://conflictforecast.org/downloads" TargetMode="External"/><Relationship Id="rId94" Type="http://schemas.openxmlformats.org/officeDocument/2006/relationships/hyperlink" Target="https://www.v-dem.net/data/the-v-dem-dataset/" TargetMode="External"/><Relationship Id="rId99" Type="http://schemas.openxmlformats.org/officeDocument/2006/relationships/hyperlink" Target="https://www.v-dem.net/documents/55/codebook.pdf" TargetMode="External"/><Relationship Id="rId101" Type="http://schemas.openxmlformats.org/officeDocument/2006/relationships/hyperlink" Target="https://www.v-dem.net/documents/55/codebook.pdf" TargetMode="External"/><Relationship Id="rId122" Type="http://schemas.openxmlformats.org/officeDocument/2006/relationships/hyperlink" Target="https://www.v-dem.net/data/the-v-dem-dataset/" TargetMode="External"/><Relationship Id="rId143" Type="http://schemas.openxmlformats.org/officeDocument/2006/relationships/hyperlink" Target="https://www.v-dem.net/documents/55/codebook.pdf" TargetMode="External"/><Relationship Id="rId148" Type="http://schemas.openxmlformats.org/officeDocument/2006/relationships/hyperlink" Target="https://www.v-dem.net/data/the-v-dem-dataset/" TargetMode="External"/><Relationship Id="rId164" Type="http://schemas.openxmlformats.org/officeDocument/2006/relationships/hyperlink" Target="https://www.v-dem.net/data/the-v-dem-dataset/" TargetMode="External"/><Relationship Id="rId169" Type="http://schemas.openxmlformats.org/officeDocument/2006/relationships/hyperlink" Target="https://www.v-dem.net/documents/55/codebook.pdf" TargetMode="External"/><Relationship Id="rId185" Type="http://schemas.openxmlformats.org/officeDocument/2006/relationships/hyperlink" Target="https://www.v-dem.net/documents/55/codebook.pdf" TargetMode="External"/><Relationship Id="rId4" Type="http://schemas.openxmlformats.org/officeDocument/2006/relationships/hyperlink" Target="https://acleddata.com/conflict-data" TargetMode="External"/><Relationship Id="rId9" Type="http://schemas.openxmlformats.org/officeDocument/2006/relationships/hyperlink" Target="https://acleddata.com/conflict-data" TargetMode="External"/><Relationship Id="rId180" Type="http://schemas.openxmlformats.org/officeDocument/2006/relationships/hyperlink" Target="https://www.v-dem.net/data/the-v-dem-dataset/" TargetMode="External"/><Relationship Id="rId210" Type="http://schemas.openxmlformats.org/officeDocument/2006/relationships/hyperlink" Target="https://databank.worldbank.org/source/world-development-indicators" TargetMode="External"/><Relationship Id="rId215" Type="http://schemas.openxmlformats.org/officeDocument/2006/relationships/hyperlink" Target="https://databank.worldbank.org/source/world-development-indicators" TargetMode="External"/><Relationship Id="rId26" Type="http://schemas.openxmlformats.org/officeDocument/2006/relationships/hyperlink" Target="https://ucdp.uu.se/downloads/" TargetMode="External"/><Relationship Id="rId47" Type="http://schemas.openxmlformats.org/officeDocument/2006/relationships/hyperlink" Target="https://www.uu.se/en/department/peace-and-conflict-research/research/ucdp/ucdp-definitions" TargetMode="External"/><Relationship Id="rId68" Type="http://schemas.openxmlformats.org/officeDocument/2006/relationships/hyperlink" Target="https://conflictforecast.org/downloads" TargetMode="External"/><Relationship Id="rId89" Type="http://schemas.openxmlformats.org/officeDocument/2006/relationships/hyperlink" Target="https://www.v-dem.net/documents/55/codebook.pdf" TargetMode="External"/><Relationship Id="rId112" Type="http://schemas.openxmlformats.org/officeDocument/2006/relationships/hyperlink" Target="https://www.v-dem.net/data/the-v-dem-dataset/" TargetMode="External"/><Relationship Id="rId133" Type="http://schemas.openxmlformats.org/officeDocument/2006/relationships/hyperlink" Target="https://www.v-dem.net/documents/55/codebook.pdf" TargetMode="External"/><Relationship Id="rId154" Type="http://schemas.openxmlformats.org/officeDocument/2006/relationships/hyperlink" Target="https://www.v-dem.net/data/the-v-dem-dataset/" TargetMode="External"/><Relationship Id="rId175" Type="http://schemas.openxmlformats.org/officeDocument/2006/relationships/hyperlink" Target="https://www.v-dem.net/documents/55/codebook.pdf" TargetMode="External"/><Relationship Id="rId196" Type="http://schemas.openxmlformats.org/officeDocument/2006/relationships/hyperlink" Target="https://databank.worldbank.org/source/world-development-indicators" TargetMode="External"/><Relationship Id="rId200" Type="http://schemas.openxmlformats.org/officeDocument/2006/relationships/hyperlink" Target="https://databank.worldbank.org/source/world-development-indicators" TargetMode="External"/><Relationship Id="rId16" Type="http://schemas.openxmlformats.org/officeDocument/2006/relationships/hyperlink" Target="https://ucdp.uu.se/downloads/" TargetMode="External"/><Relationship Id="rId221" Type="http://schemas.openxmlformats.org/officeDocument/2006/relationships/hyperlink" Target="https://databank.worldbank.org/source/world-development-indicators" TargetMode="External"/><Relationship Id="rId37" Type="http://schemas.openxmlformats.org/officeDocument/2006/relationships/hyperlink" Target="https://www.uu.se/en/department/peace-and-conflict-research/research/ucdp/ucdp-definitions" TargetMode="External"/><Relationship Id="rId58" Type="http://schemas.openxmlformats.org/officeDocument/2006/relationships/hyperlink" Target="https://oefdatascience.github.io/REIGN.github.io/menu/reign_current.html" TargetMode="External"/><Relationship Id="rId79" Type="http://schemas.openxmlformats.org/officeDocument/2006/relationships/hyperlink" Target="https://www.v-dem.net/documents/55/codebook.pdf" TargetMode="External"/><Relationship Id="rId102" Type="http://schemas.openxmlformats.org/officeDocument/2006/relationships/hyperlink" Target="https://www.v-dem.net/data/the-v-dem-dataset/" TargetMode="External"/><Relationship Id="rId123" Type="http://schemas.openxmlformats.org/officeDocument/2006/relationships/hyperlink" Target="https://www.v-dem.net/documents/55/codebook.pdf" TargetMode="External"/><Relationship Id="rId144" Type="http://schemas.openxmlformats.org/officeDocument/2006/relationships/hyperlink" Target="https://www.v-dem.net/data/the-v-dem-dataset/" TargetMode="External"/><Relationship Id="rId90" Type="http://schemas.openxmlformats.org/officeDocument/2006/relationships/hyperlink" Target="https://www.v-dem.net/data/the-v-dem-dataset/" TargetMode="External"/><Relationship Id="rId165" Type="http://schemas.openxmlformats.org/officeDocument/2006/relationships/hyperlink" Target="https://www.v-dem.net/documents/55/codebook.pdf" TargetMode="External"/><Relationship Id="rId186" Type="http://schemas.openxmlformats.org/officeDocument/2006/relationships/hyperlink" Target="https://www.v-dem.net/data/the-v-dem-dataset/" TargetMode="External"/><Relationship Id="rId211" Type="http://schemas.openxmlformats.org/officeDocument/2006/relationships/hyperlink" Target="https://databank.worldbank.org/source/world-development-indicators" TargetMode="External"/><Relationship Id="rId27" Type="http://schemas.openxmlformats.org/officeDocument/2006/relationships/hyperlink" Target="https://www.uu.se/en/department/peace-and-conflict-research/research/ucdp/ucdp-definitions" TargetMode="External"/><Relationship Id="rId48" Type="http://schemas.openxmlformats.org/officeDocument/2006/relationships/hyperlink" Target="https://ucdp.uu.se/downloads/" TargetMode="External"/><Relationship Id="rId69" Type="http://schemas.openxmlformats.org/officeDocument/2006/relationships/hyperlink" Target="https://conflictforecast.org/downloads" TargetMode="External"/><Relationship Id="rId113" Type="http://schemas.openxmlformats.org/officeDocument/2006/relationships/hyperlink" Target="https://www.v-dem.net/documents/55/codebook.pdf" TargetMode="External"/><Relationship Id="rId134" Type="http://schemas.openxmlformats.org/officeDocument/2006/relationships/hyperlink" Target="https://www.v-dem.net/data/the-v-dem-dataset/" TargetMode="External"/><Relationship Id="rId80" Type="http://schemas.openxmlformats.org/officeDocument/2006/relationships/hyperlink" Target="https://www.v-dem.net/data/the-v-dem-dataset/" TargetMode="External"/><Relationship Id="rId155" Type="http://schemas.openxmlformats.org/officeDocument/2006/relationships/hyperlink" Target="https://www.v-dem.net/documents/55/codebook.pdf" TargetMode="External"/><Relationship Id="rId176" Type="http://schemas.openxmlformats.org/officeDocument/2006/relationships/hyperlink" Target="https://www.v-dem.net/data/the-v-dem-dataset/" TargetMode="External"/><Relationship Id="rId197" Type="http://schemas.openxmlformats.org/officeDocument/2006/relationships/hyperlink" Target="https://databank.worldbank.org/source/world-development-indicators" TargetMode="External"/><Relationship Id="rId201" Type="http://schemas.openxmlformats.org/officeDocument/2006/relationships/hyperlink" Target="https://databank.worldbank.org/source/world-development-indicators" TargetMode="External"/><Relationship Id="rId222" Type="http://schemas.openxmlformats.org/officeDocument/2006/relationships/hyperlink" Target="https://databank.worldbank.org/source/world-development-indicators" TargetMode="External"/><Relationship Id="rId17" Type="http://schemas.openxmlformats.org/officeDocument/2006/relationships/hyperlink" Target="https://www.uu.se/en/department/peace-and-conflict-research/research/ucdp/ucdp-definitions" TargetMode="External"/><Relationship Id="rId38" Type="http://schemas.openxmlformats.org/officeDocument/2006/relationships/hyperlink" Target="https://ucdp.uu.se/downloads/" TargetMode="External"/><Relationship Id="rId59" Type="http://schemas.openxmlformats.org/officeDocument/2006/relationships/hyperlink" Target="https://conflictforecast.org/downloads" TargetMode="External"/><Relationship Id="rId103" Type="http://schemas.openxmlformats.org/officeDocument/2006/relationships/hyperlink" Target="https://www.v-dem.net/documents/55/codebook.pdf" TargetMode="External"/><Relationship Id="rId124" Type="http://schemas.openxmlformats.org/officeDocument/2006/relationships/hyperlink" Target="https://www.v-dem.net/data/the-v-dem-dataset/" TargetMode="External"/><Relationship Id="rId70" Type="http://schemas.openxmlformats.org/officeDocument/2006/relationships/hyperlink" Target="https://conflictforecast.org/downloads" TargetMode="External"/><Relationship Id="rId91" Type="http://schemas.openxmlformats.org/officeDocument/2006/relationships/hyperlink" Target="https://www.v-dem.net/documents/55/codebook.pdf" TargetMode="External"/><Relationship Id="rId145" Type="http://schemas.openxmlformats.org/officeDocument/2006/relationships/hyperlink" Target="https://www.v-dem.net/documents/55/codebook.pdf" TargetMode="External"/><Relationship Id="rId166" Type="http://schemas.openxmlformats.org/officeDocument/2006/relationships/hyperlink" Target="https://www.v-dem.net/data/the-v-dem-dataset/" TargetMode="External"/><Relationship Id="rId187" Type="http://schemas.openxmlformats.org/officeDocument/2006/relationships/hyperlink" Target="https://www.v-dem.net/documents/55/codebook.pdf" TargetMode="External"/><Relationship Id="rId1" Type="http://schemas.openxmlformats.org/officeDocument/2006/relationships/hyperlink" Target="https://acleddata.com/conflict-data" TargetMode="External"/><Relationship Id="rId212" Type="http://schemas.openxmlformats.org/officeDocument/2006/relationships/hyperlink" Target="https://databank.worldbank.org/source/world-development-indicators" TargetMode="External"/><Relationship Id="rId28" Type="http://schemas.openxmlformats.org/officeDocument/2006/relationships/hyperlink" Target="https://ucdp.uu.se/downloads/" TargetMode="External"/><Relationship Id="rId49" Type="http://schemas.openxmlformats.org/officeDocument/2006/relationships/hyperlink" Target="https://www.uu.se/en/department/peace-and-conflict-research/research/ucdp/ucdp-definitions" TargetMode="External"/><Relationship Id="rId114" Type="http://schemas.openxmlformats.org/officeDocument/2006/relationships/hyperlink" Target="https://www.v-dem.net/data/the-v-dem-dataset/" TargetMode="External"/><Relationship Id="rId60" Type="http://schemas.openxmlformats.org/officeDocument/2006/relationships/hyperlink" Target="https://conflictforecast.org/downloads" TargetMode="External"/><Relationship Id="rId81" Type="http://schemas.openxmlformats.org/officeDocument/2006/relationships/hyperlink" Target="https://www.v-dem.net/documents/55/codebook.pdf" TargetMode="External"/><Relationship Id="rId135" Type="http://schemas.openxmlformats.org/officeDocument/2006/relationships/hyperlink" Target="https://www.v-dem.net/documents/55/codebook.pdf" TargetMode="External"/><Relationship Id="rId156" Type="http://schemas.openxmlformats.org/officeDocument/2006/relationships/hyperlink" Target="https://www.v-dem.net/data/the-v-dem-dataset/" TargetMode="External"/><Relationship Id="rId177" Type="http://schemas.openxmlformats.org/officeDocument/2006/relationships/hyperlink" Target="https://www.v-dem.net/documents/55/codebook.pdf" TargetMode="External"/><Relationship Id="rId198" Type="http://schemas.openxmlformats.org/officeDocument/2006/relationships/hyperlink" Target="https://databank.worldbank.org/source/world-development-indicators" TargetMode="External"/><Relationship Id="rId202" Type="http://schemas.openxmlformats.org/officeDocument/2006/relationships/hyperlink" Target="https://databank.worldbank.org/source/world-development-indicators" TargetMode="External"/><Relationship Id="rId223" Type="http://schemas.openxmlformats.org/officeDocument/2006/relationships/hyperlink" Target="https://databank.worldbank.org/source/world-development-indicators" TargetMode="External"/><Relationship Id="rId18" Type="http://schemas.openxmlformats.org/officeDocument/2006/relationships/hyperlink" Target="https://ucdp.uu.se/downloads/" TargetMode="External"/><Relationship Id="rId39" Type="http://schemas.openxmlformats.org/officeDocument/2006/relationships/hyperlink" Target="https://www.uu.se/en/department/peace-and-conflict-research/research/ucdp/ucdp-definitions" TargetMode="External"/><Relationship Id="rId50" Type="http://schemas.openxmlformats.org/officeDocument/2006/relationships/hyperlink" Target="https://ucdp.uu.se/downloads/" TargetMode="External"/><Relationship Id="rId104" Type="http://schemas.openxmlformats.org/officeDocument/2006/relationships/hyperlink" Target="https://www.v-dem.net/data/the-v-dem-dataset/" TargetMode="External"/><Relationship Id="rId125" Type="http://schemas.openxmlformats.org/officeDocument/2006/relationships/hyperlink" Target="https://www.v-dem.net/documents/55/codebook.pdf" TargetMode="External"/><Relationship Id="rId146" Type="http://schemas.openxmlformats.org/officeDocument/2006/relationships/hyperlink" Target="https://www.v-dem.net/data/the-v-dem-dataset/" TargetMode="External"/><Relationship Id="rId167" Type="http://schemas.openxmlformats.org/officeDocument/2006/relationships/hyperlink" Target="https://www.v-dem.net/documents/55/codebook.pdf" TargetMode="External"/><Relationship Id="rId188" Type="http://schemas.openxmlformats.org/officeDocument/2006/relationships/hyperlink" Target="https://www.v-dem.net/data/the-v-dem-dataset/" TargetMode="External"/><Relationship Id="rId71" Type="http://schemas.openxmlformats.org/officeDocument/2006/relationships/hyperlink" Target="https://conflictforecast.org/downloads" TargetMode="External"/><Relationship Id="rId92" Type="http://schemas.openxmlformats.org/officeDocument/2006/relationships/hyperlink" Target="https://www.v-dem.net/data/the-v-dem-dataset/" TargetMode="External"/><Relationship Id="rId213" Type="http://schemas.openxmlformats.org/officeDocument/2006/relationships/hyperlink" Target="https://databank.worldbank.org/source/world-development-indicators" TargetMode="External"/><Relationship Id="rId2" Type="http://schemas.openxmlformats.org/officeDocument/2006/relationships/hyperlink" Target="https://acleddata.com/conflict-data" TargetMode="External"/><Relationship Id="rId29" Type="http://schemas.openxmlformats.org/officeDocument/2006/relationships/hyperlink" Target="https://www.uu.se/en/department/peace-and-conflict-research/research/ucdp/ucdp-definitions" TargetMode="External"/><Relationship Id="rId40" Type="http://schemas.openxmlformats.org/officeDocument/2006/relationships/hyperlink" Target="https://ucdp.uu.se/downloads/" TargetMode="External"/><Relationship Id="rId115" Type="http://schemas.openxmlformats.org/officeDocument/2006/relationships/hyperlink" Target="https://www.v-dem.net/documents/55/codebook.pdf" TargetMode="External"/><Relationship Id="rId136" Type="http://schemas.openxmlformats.org/officeDocument/2006/relationships/hyperlink" Target="https://www.v-dem.net/data/the-v-dem-dataset/" TargetMode="External"/><Relationship Id="rId157" Type="http://schemas.openxmlformats.org/officeDocument/2006/relationships/hyperlink" Target="https://www.v-dem.net/documents/55/codebook.pdf" TargetMode="External"/><Relationship Id="rId178" Type="http://schemas.openxmlformats.org/officeDocument/2006/relationships/hyperlink" Target="https://www.v-dem.net/data/the-v-dem-dataset/" TargetMode="External"/><Relationship Id="rId61" Type="http://schemas.openxmlformats.org/officeDocument/2006/relationships/hyperlink" Target="https://conflictforecast.org/downloads" TargetMode="External"/><Relationship Id="rId82" Type="http://schemas.openxmlformats.org/officeDocument/2006/relationships/hyperlink" Target="https://www.v-dem.net/data/the-v-dem-dataset/" TargetMode="External"/><Relationship Id="rId199" Type="http://schemas.openxmlformats.org/officeDocument/2006/relationships/hyperlink" Target="https://databank.worldbank.org/source/world-development-indicators" TargetMode="External"/><Relationship Id="rId203" Type="http://schemas.openxmlformats.org/officeDocument/2006/relationships/hyperlink" Target="https://databank.worldbank.org/source/world-development-indicators" TargetMode="External"/><Relationship Id="rId19" Type="http://schemas.openxmlformats.org/officeDocument/2006/relationships/hyperlink" Target="https://www.uu.se/en/department/peace-and-conflict-research/research/ucdp/ucdp-definitions" TargetMode="External"/><Relationship Id="rId30" Type="http://schemas.openxmlformats.org/officeDocument/2006/relationships/hyperlink" Target="https://ucdp.uu.se/downloads/" TargetMode="External"/><Relationship Id="rId105" Type="http://schemas.openxmlformats.org/officeDocument/2006/relationships/hyperlink" Target="https://www.v-dem.net/documents/55/codebook.pdf" TargetMode="External"/><Relationship Id="rId126" Type="http://schemas.openxmlformats.org/officeDocument/2006/relationships/hyperlink" Target="https://www.v-dem.net/data/the-v-dem-dataset/" TargetMode="External"/><Relationship Id="rId147" Type="http://schemas.openxmlformats.org/officeDocument/2006/relationships/hyperlink" Target="https://www.v-dem.net/documents/55/codebook.pdf" TargetMode="External"/><Relationship Id="rId168" Type="http://schemas.openxmlformats.org/officeDocument/2006/relationships/hyperlink" Target="https://www.v-dem.net/data/the-v-dem-datas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9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cols>
    <col min="1" max="1" width="32.1640625" customWidth="1"/>
    <col min="2" max="5" width="25.33203125" customWidth="1"/>
    <col min="6" max="6" width="41.33203125" customWidth="1"/>
    <col min="7" max="7" width="16.6640625" customWidth="1"/>
    <col min="8" max="8" width="44.1640625" customWidth="1"/>
    <col min="9" max="9" width="26" customWidth="1"/>
    <col min="10" max="10" width="21.6640625" customWidth="1"/>
  </cols>
  <sheetData>
    <row r="1" spans="1:29" ht="46.5" customHeight="1" thickBot="1" x14ac:dyDescent="0.2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383</v>
      </c>
      <c r="H1" s="3" t="s">
        <v>6</v>
      </c>
      <c r="I1" s="4" t="s">
        <v>7</v>
      </c>
      <c r="J1" s="4" t="s">
        <v>8</v>
      </c>
    </row>
    <row r="2" spans="1:29" ht="47.25" customHeight="1" thickTop="1" x14ac:dyDescent="0.15">
      <c r="A2" s="13" t="s">
        <v>9</v>
      </c>
      <c r="B2" s="11" t="s">
        <v>11</v>
      </c>
      <c r="C2" s="8" t="s">
        <v>10</v>
      </c>
      <c r="D2" s="8" t="s">
        <v>12</v>
      </c>
      <c r="E2" s="10" t="s">
        <v>13</v>
      </c>
      <c r="F2" s="9" t="s">
        <v>14</v>
      </c>
      <c r="G2" s="5" t="s">
        <v>389</v>
      </c>
      <c r="H2" s="5" t="s">
        <v>15</v>
      </c>
      <c r="I2" s="6" t="s">
        <v>16</v>
      </c>
      <c r="J2" s="6" t="s">
        <v>16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47.25" customHeight="1" x14ac:dyDescent="0.15">
      <c r="A3" s="13" t="s">
        <v>17</v>
      </c>
      <c r="B3" s="11" t="s">
        <v>11</v>
      </c>
      <c r="C3" s="8" t="s">
        <v>18</v>
      </c>
      <c r="D3" s="8" t="s">
        <v>19</v>
      </c>
      <c r="E3" s="10" t="s">
        <v>20</v>
      </c>
      <c r="F3" s="9" t="s">
        <v>21</v>
      </c>
      <c r="G3" s="5" t="s">
        <v>389</v>
      </c>
      <c r="H3" s="5" t="s">
        <v>15</v>
      </c>
      <c r="I3" s="6" t="s">
        <v>16</v>
      </c>
      <c r="J3" s="6" t="s">
        <v>16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47.25" customHeight="1" x14ac:dyDescent="0.15">
      <c r="A4" s="13" t="s">
        <v>22</v>
      </c>
      <c r="B4" s="11" t="s">
        <v>24</v>
      </c>
      <c r="C4" s="8" t="s">
        <v>23</v>
      </c>
      <c r="D4" s="8" t="s">
        <v>25</v>
      </c>
      <c r="E4" s="10" t="s">
        <v>20</v>
      </c>
      <c r="F4" s="9" t="s">
        <v>21</v>
      </c>
      <c r="G4" s="5" t="s">
        <v>389</v>
      </c>
      <c r="H4" s="5" t="s">
        <v>15</v>
      </c>
      <c r="I4" s="6" t="s">
        <v>16</v>
      </c>
      <c r="J4" s="6" t="s">
        <v>16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47.25" customHeight="1" x14ac:dyDescent="0.15">
      <c r="A5" s="13" t="s">
        <v>26</v>
      </c>
      <c r="B5" s="11" t="s">
        <v>24</v>
      </c>
      <c r="C5" s="8" t="s">
        <v>27</v>
      </c>
      <c r="D5" s="8" t="s">
        <v>28</v>
      </c>
      <c r="E5" s="10" t="s">
        <v>29</v>
      </c>
      <c r="F5" s="9" t="s">
        <v>30</v>
      </c>
      <c r="G5" s="5" t="s">
        <v>389</v>
      </c>
      <c r="H5" s="5" t="s">
        <v>15</v>
      </c>
      <c r="I5" s="6" t="s">
        <v>16</v>
      </c>
      <c r="J5" s="6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47.25" customHeight="1" x14ac:dyDescent="0.15">
      <c r="A6" s="13" t="s">
        <v>31</v>
      </c>
      <c r="B6" s="11" t="s">
        <v>33</v>
      </c>
      <c r="C6" s="8" t="s">
        <v>32</v>
      </c>
      <c r="D6" s="8" t="s">
        <v>34</v>
      </c>
      <c r="E6" s="10" t="s">
        <v>35</v>
      </c>
      <c r="F6" s="9" t="s">
        <v>36</v>
      </c>
      <c r="G6" s="5" t="s">
        <v>389</v>
      </c>
      <c r="H6" s="5" t="s">
        <v>15</v>
      </c>
      <c r="I6" s="6" t="s">
        <v>16</v>
      </c>
      <c r="J6" s="6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47.25" customHeight="1" x14ac:dyDescent="0.15">
      <c r="A7" s="13" t="s">
        <v>37</v>
      </c>
      <c r="B7" s="11" t="s">
        <v>24</v>
      </c>
      <c r="C7" s="8" t="s">
        <v>38</v>
      </c>
      <c r="D7" s="8" t="s">
        <v>39</v>
      </c>
      <c r="E7" s="10" t="s">
        <v>35</v>
      </c>
      <c r="F7" s="9" t="s">
        <v>36</v>
      </c>
      <c r="G7" s="5" t="s">
        <v>389</v>
      </c>
      <c r="H7" s="5" t="s">
        <v>15</v>
      </c>
      <c r="I7" s="6" t="s">
        <v>16</v>
      </c>
      <c r="J7" s="6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47.25" customHeight="1" x14ac:dyDescent="0.15">
      <c r="A8" s="13" t="s">
        <v>40</v>
      </c>
      <c r="B8" s="11" t="s">
        <v>42</v>
      </c>
      <c r="C8" s="8" t="s">
        <v>41</v>
      </c>
      <c r="D8" s="8" t="s">
        <v>43</v>
      </c>
      <c r="E8" s="10" t="s">
        <v>44</v>
      </c>
      <c r="F8" s="9" t="s">
        <v>45</v>
      </c>
      <c r="G8" s="5" t="s">
        <v>388</v>
      </c>
      <c r="H8" s="5" t="s">
        <v>46</v>
      </c>
      <c r="I8" s="6" t="s">
        <v>47</v>
      </c>
      <c r="J8" s="6" t="s">
        <v>48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47.25" customHeight="1" x14ac:dyDescent="0.15">
      <c r="A9" s="13" t="s">
        <v>49</v>
      </c>
      <c r="B9" s="11" t="s">
        <v>11</v>
      </c>
      <c r="C9" s="8" t="s">
        <v>50</v>
      </c>
      <c r="D9" s="8" t="s">
        <v>51</v>
      </c>
      <c r="E9" s="10" t="s">
        <v>44</v>
      </c>
      <c r="F9" s="9" t="s">
        <v>45</v>
      </c>
      <c r="G9" s="5" t="s">
        <v>388</v>
      </c>
      <c r="H9" s="5" t="s">
        <v>46</v>
      </c>
      <c r="I9" s="6" t="s">
        <v>47</v>
      </c>
      <c r="J9" s="6" t="s">
        <v>48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47.25" customHeight="1" x14ac:dyDescent="0.15">
      <c r="A10" s="13" t="s">
        <v>52</v>
      </c>
      <c r="B10" s="11" t="s">
        <v>24</v>
      </c>
      <c r="C10" s="8" t="s">
        <v>53</v>
      </c>
      <c r="D10" s="8" t="s">
        <v>54</v>
      </c>
      <c r="E10" s="10" t="s">
        <v>44</v>
      </c>
      <c r="F10" s="9" t="s">
        <v>45</v>
      </c>
      <c r="G10" s="5" t="s">
        <v>388</v>
      </c>
      <c r="H10" s="5" t="s">
        <v>46</v>
      </c>
      <c r="I10" s="6" t="s">
        <v>47</v>
      </c>
      <c r="J10" s="6" t="s">
        <v>48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47.25" customHeight="1" x14ac:dyDescent="0.15">
      <c r="A11" s="13" t="s">
        <v>55</v>
      </c>
      <c r="B11" s="11" t="s">
        <v>57</v>
      </c>
      <c r="C11" s="8" t="s">
        <v>56</v>
      </c>
      <c r="D11" s="8" t="s">
        <v>58</v>
      </c>
      <c r="E11" s="10" t="s">
        <v>44</v>
      </c>
      <c r="F11" s="9" t="s">
        <v>45</v>
      </c>
      <c r="G11" s="5" t="s">
        <v>388</v>
      </c>
      <c r="H11" s="5" t="s">
        <v>46</v>
      </c>
      <c r="I11" s="6" t="s">
        <v>47</v>
      </c>
      <c r="J11" s="6" t="s">
        <v>48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47.25" customHeight="1" x14ac:dyDescent="0.15">
      <c r="A12" s="13" t="s">
        <v>59</v>
      </c>
      <c r="B12" s="11" t="s">
        <v>42</v>
      </c>
      <c r="C12" s="8" t="s">
        <v>60</v>
      </c>
      <c r="D12" s="8" t="s">
        <v>61</v>
      </c>
      <c r="E12" s="10" t="s">
        <v>62</v>
      </c>
      <c r="F12" s="9" t="s">
        <v>63</v>
      </c>
      <c r="G12" s="5" t="s">
        <v>388</v>
      </c>
      <c r="H12" s="5" t="s">
        <v>46</v>
      </c>
      <c r="I12" s="6" t="s">
        <v>47</v>
      </c>
      <c r="J12" s="6" t="s">
        <v>48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47.25" customHeight="1" x14ac:dyDescent="0.15">
      <c r="A13" s="13" t="s">
        <v>64</v>
      </c>
      <c r="B13" s="11" t="s">
        <v>11</v>
      </c>
      <c r="C13" s="8" t="s">
        <v>65</v>
      </c>
      <c r="D13" s="8" t="s">
        <v>66</v>
      </c>
      <c r="E13" s="10" t="s">
        <v>62</v>
      </c>
      <c r="F13" s="9" t="s">
        <v>63</v>
      </c>
      <c r="G13" s="5" t="s">
        <v>388</v>
      </c>
      <c r="H13" s="5" t="s">
        <v>46</v>
      </c>
      <c r="I13" s="6" t="s">
        <v>47</v>
      </c>
      <c r="J13" s="6" t="s">
        <v>48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47.25" customHeight="1" x14ac:dyDescent="0.15">
      <c r="A14" s="13" t="s">
        <v>67</v>
      </c>
      <c r="B14" s="11" t="s">
        <v>24</v>
      </c>
      <c r="C14" s="8" t="s">
        <v>23</v>
      </c>
      <c r="D14" s="8" t="s">
        <v>68</v>
      </c>
      <c r="E14" s="10" t="s">
        <v>62</v>
      </c>
      <c r="F14" s="9" t="s">
        <v>63</v>
      </c>
      <c r="G14" s="5" t="s">
        <v>388</v>
      </c>
      <c r="H14" s="5" t="s">
        <v>46</v>
      </c>
      <c r="I14" s="6" t="s">
        <v>47</v>
      </c>
      <c r="J14" s="6" t="s">
        <v>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47.25" customHeight="1" x14ac:dyDescent="0.15">
      <c r="A15" s="13" t="s">
        <v>69</v>
      </c>
      <c r="B15" s="11" t="s">
        <v>71</v>
      </c>
      <c r="C15" s="8" t="s">
        <v>70</v>
      </c>
      <c r="D15" s="8" t="s">
        <v>382</v>
      </c>
      <c r="E15" s="10" t="s">
        <v>62</v>
      </c>
      <c r="F15" s="9" t="s">
        <v>63</v>
      </c>
      <c r="G15" s="5" t="s">
        <v>388</v>
      </c>
      <c r="H15" s="5" t="s">
        <v>46</v>
      </c>
      <c r="I15" s="6" t="s">
        <v>47</v>
      </c>
      <c r="J15" s="6" t="s">
        <v>48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47.25" customHeight="1" x14ac:dyDescent="0.15">
      <c r="A16" s="13" t="s">
        <v>72</v>
      </c>
      <c r="B16" s="11" t="s">
        <v>57</v>
      </c>
      <c r="C16" s="8" t="s">
        <v>73</v>
      </c>
      <c r="D16" s="8" t="s">
        <v>74</v>
      </c>
      <c r="E16" s="10" t="s">
        <v>62</v>
      </c>
      <c r="F16" s="9" t="s">
        <v>63</v>
      </c>
      <c r="G16" s="5" t="s">
        <v>388</v>
      </c>
      <c r="H16" s="5" t="s">
        <v>46</v>
      </c>
      <c r="I16" s="6" t="s">
        <v>47</v>
      </c>
      <c r="J16" s="6" t="s">
        <v>48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47.25" customHeight="1" x14ac:dyDescent="0.15">
      <c r="A17" s="13" t="s">
        <v>75</v>
      </c>
      <c r="B17" s="11" t="s">
        <v>42</v>
      </c>
      <c r="C17" s="8" t="s">
        <v>76</v>
      </c>
      <c r="D17" s="8" t="s">
        <v>77</v>
      </c>
      <c r="E17" s="10" t="s">
        <v>78</v>
      </c>
      <c r="F17" s="9" t="s">
        <v>79</v>
      </c>
      <c r="G17" s="5" t="s">
        <v>388</v>
      </c>
      <c r="H17" s="5" t="s">
        <v>46</v>
      </c>
      <c r="I17" s="6" t="s">
        <v>47</v>
      </c>
      <c r="J17" s="6" t="s">
        <v>48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47.25" customHeight="1" x14ac:dyDescent="0.15">
      <c r="A18" s="13" t="s">
        <v>80</v>
      </c>
      <c r="B18" s="11" t="s">
        <v>11</v>
      </c>
      <c r="C18" s="8" t="s">
        <v>81</v>
      </c>
      <c r="D18" s="8" t="s">
        <v>82</v>
      </c>
      <c r="E18" s="10" t="s">
        <v>78</v>
      </c>
      <c r="F18" s="9" t="s">
        <v>79</v>
      </c>
      <c r="G18" s="5" t="s">
        <v>388</v>
      </c>
      <c r="H18" s="5" t="s">
        <v>46</v>
      </c>
      <c r="I18" s="6" t="s">
        <v>47</v>
      </c>
      <c r="J18" s="6" t="s">
        <v>48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47.25" customHeight="1" x14ac:dyDescent="0.15">
      <c r="A19" s="13" t="s">
        <v>83</v>
      </c>
      <c r="B19" s="11" t="s">
        <v>85</v>
      </c>
      <c r="C19" s="8" t="s">
        <v>84</v>
      </c>
      <c r="D19" s="8" t="s">
        <v>86</v>
      </c>
      <c r="E19" s="10" t="s">
        <v>78</v>
      </c>
      <c r="F19" s="9" t="s">
        <v>79</v>
      </c>
      <c r="G19" s="5" t="s">
        <v>388</v>
      </c>
      <c r="H19" s="5" t="s">
        <v>46</v>
      </c>
      <c r="I19" s="6" t="s">
        <v>47</v>
      </c>
      <c r="J19" s="6" t="s">
        <v>48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47.25" customHeight="1" x14ac:dyDescent="0.15">
      <c r="A20" s="13" t="s">
        <v>87</v>
      </c>
      <c r="B20" s="11" t="s">
        <v>24</v>
      </c>
      <c r="C20" s="8" t="s">
        <v>38</v>
      </c>
      <c r="D20" s="8" t="s">
        <v>88</v>
      </c>
      <c r="E20" s="10" t="s">
        <v>78</v>
      </c>
      <c r="F20" s="9" t="s">
        <v>79</v>
      </c>
      <c r="G20" s="5" t="s">
        <v>388</v>
      </c>
      <c r="H20" s="5" t="s">
        <v>46</v>
      </c>
      <c r="I20" s="6" t="s">
        <v>47</v>
      </c>
      <c r="J20" s="6" t="s">
        <v>48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47.25" customHeight="1" x14ac:dyDescent="0.15">
      <c r="A21" s="13" t="s">
        <v>89</v>
      </c>
      <c r="B21" s="11" t="s">
        <v>24</v>
      </c>
      <c r="C21" s="8" t="s">
        <v>38</v>
      </c>
      <c r="D21" s="8" t="s">
        <v>88</v>
      </c>
      <c r="E21" s="10" t="s">
        <v>78</v>
      </c>
      <c r="F21" s="9" t="s">
        <v>79</v>
      </c>
      <c r="G21" s="5" t="s">
        <v>388</v>
      </c>
      <c r="H21" s="5" t="s">
        <v>46</v>
      </c>
      <c r="I21" s="6" t="s">
        <v>47</v>
      </c>
      <c r="J21" s="6" t="s">
        <v>48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47.25" customHeight="1" x14ac:dyDescent="0.15">
      <c r="A22" s="13" t="s">
        <v>90</v>
      </c>
      <c r="B22" s="11" t="s">
        <v>71</v>
      </c>
      <c r="C22" s="8" t="s">
        <v>91</v>
      </c>
      <c r="D22" s="8" t="s">
        <v>92</v>
      </c>
      <c r="E22" s="10" t="s">
        <v>78</v>
      </c>
      <c r="F22" s="9" t="s">
        <v>79</v>
      </c>
      <c r="G22" s="5" t="s">
        <v>388</v>
      </c>
      <c r="H22" s="5" t="s">
        <v>46</v>
      </c>
      <c r="I22" s="6" t="s">
        <v>47</v>
      </c>
      <c r="J22" s="6" t="s">
        <v>48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47.25" customHeight="1" x14ac:dyDescent="0.15">
      <c r="A23" s="13" t="s">
        <v>93</v>
      </c>
      <c r="B23" s="11" t="s">
        <v>95</v>
      </c>
      <c r="C23" s="8" t="s">
        <v>94</v>
      </c>
      <c r="D23" s="8" t="s">
        <v>96</v>
      </c>
      <c r="E23" s="10" t="s">
        <v>78</v>
      </c>
      <c r="F23" s="9" t="s">
        <v>79</v>
      </c>
      <c r="G23" s="5" t="s">
        <v>388</v>
      </c>
      <c r="H23" s="5" t="s">
        <v>46</v>
      </c>
      <c r="I23" s="6" t="s">
        <v>47</v>
      </c>
      <c r="J23" s="6" t="s">
        <v>48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47.25" customHeight="1" x14ac:dyDescent="0.15">
      <c r="A24" s="13" t="s">
        <v>97</v>
      </c>
      <c r="B24" s="11" t="s">
        <v>99</v>
      </c>
      <c r="C24" s="8" t="s">
        <v>98</v>
      </c>
      <c r="D24" s="8" t="s">
        <v>100</v>
      </c>
      <c r="E24" s="10" t="s">
        <v>78</v>
      </c>
      <c r="F24" s="9" t="s">
        <v>79</v>
      </c>
      <c r="G24" s="5" t="s">
        <v>388</v>
      </c>
      <c r="H24" s="5" t="s">
        <v>46</v>
      </c>
      <c r="I24" s="6" t="s">
        <v>47</v>
      </c>
      <c r="J24" s="6" t="s">
        <v>48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47.25" customHeight="1" x14ac:dyDescent="0.15">
      <c r="A25" s="13" t="s">
        <v>101</v>
      </c>
      <c r="B25" s="11" t="s">
        <v>103</v>
      </c>
      <c r="C25" s="8" t="s">
        <v>102</v>
      </c>
      <c r="D25" s="8" t="s">
        <v>104</v>
      </c>
      <c r="E25" s="10" t="s">
        <v>78</v>
      </c>
      <c r="F25" s="9" t="s">
        <v>79</v>
      </c>
      <c r="G25" s="5" t="s">
        <v>388</v>
      </c>
      <c r="H25" s="5" t="s">
        <v>46</v>
      </c>
      <c r="I25" s="6" t="s">
        <v>47</v>
      </c>
      <c r="J25" s="6" t="s">
        <v>48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47.25" customHeight="1" x14ac:dyDescent="0.15">
      <c r="A26" s="13" t="s">
        <v>105</v>
      </c>
      <c r="B26" s="11" t="s">
        <v>107</v>
      </c>
      <c r="C26" s="8" t="s">
        <v>106</v>
      </c>
      <c r="D26" s="8" t="s">
        <v>108</v>
      </c>
      <c r="E26" s="10" t="s">
        <v>78</v>
      </c>
      <c r="F26" s="9" t="s">
        <v>79</v>
      </c>
      <c r="G26" s="5" t="s">
        <v>388</v>
      </c>
      <c r="H26" s="5" t="s">
        <v>46</v>
      </c>
      <c r="I26" s="6" t="s">
        <v>47</v>
      </c>
      <c r="J26" s="6" t="s">
        <v>48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47.25" customHeight="1" x14ac:dyDescent="0.15">
      <c r="A27" s="13" t="s">
        <v>109</v>
      </c>
      <c r="B27" s="11" t="s">
        <v>111</v>
      </c>
      <c r="C27" s="8" t="s">
        <v>110</v>
      </c>
      <c r="D27" s="8" t="s">
        <v>112</v>
      </c>
      <c r="E27" s="10" t="s">
        <v>78</v>
      </c>
      <c r="F27" s="9" t="s">
        <v>79</v>
      </c>
      <c r="G27" s="5" t="s">
        <v>388</v>
      </c>
      <c r="H27" s="5" t="s">
        <v>46</v>
      </c>
      <c r="I27" s="6" t="s">
        <v>47</v>
      </c>
      <c r="J27" s="6" t="s">
        <v>48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47.25" customHeight="1" x14ac:dyDescent="0.15">
      <c r="A28" s="13" t="s">
        <v>113</v>
      </c>
      <c r="B28" s="11" t="s">
        <v>115</v>
      </c>
      <c r="C28" s="8" t="s">
        <v>114</v>
      </c>
      <c r="D28" s="8" t="s">
        <v>116</v>
      </c>
      <c r="E28" s="10" t="s">
        <v>78</v>
      </c>
      <c r="F28" s="9" t="s">
        <v>79</v>
      </c>
      <c r="G28" s="5" t="s">
        <v>388</v>
      </c>
      <c r="H28" s="5" t="s">
        <v>46</v>
      </c>
      <c r="I28" s="6" t="s">
        <v>47</v>
      </c>
      <c r="J28" s="6" t="s">
        <v>48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47.25" customHeight="1" x14ac:dyDescent="0.15">
      <c r="A29" s="13" t="s">
        <v>117</v>
      </c>
      <c r="B29" s="11" t="s">
        <v>57</v>
      </c>
      <c r="C29" s="8" t="s">
        <v>118</v>
      </c>
      <c r="D29" s="8" t="s">
        <v>119</v>
      </c>
      <c r="E29" s="10" t="s">
        <v>78</v>
      </c>
      <c r="F29" s="9" t="s">
        <v>79</v>
      </c>
      <c r="G29" s="5" t="s">
        <v>388</v>
      </c>
      <c r="H29" s="5" t="s">
        <v>46</v>
      </c>
      <c r="I29" s="6" t="s">
        <v>47</v>
      </c>
      <c r="J29" s="6" t="s">
        <v>48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47.25" customHeight="1" x14ac:dyDescent="0.15">
      <c r="A30" s="13" t="s">
        <v>120</v>
      </c>
      <c r="B30" s="12" t="s">
        <v>122</v>
      </c>
      <c r="C30" s="8" t="s">
        <v>121</v>
      </c>
      <c r="D30" s="8" t="s">
        <v>121</v>
      </c>
      <c r="E30" s="10" t="s">
        <v>123</v>
      </c>
      <c r="F30" s="9" t="s">
        <v>121</v>
      </c>
      <c r="G30" s="5" t="s">
        <v>384</v>
      </c>
      <c r="H30" s="5" t="s">
        <v>124</v>
      </c>
      <c r="I30" s="6" t="s">
        <v>125</v>
      </c>
      <c r="J30" s="6" t="s">
        <v>126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47.25" customHeight="1" x14ac:dyDescent="0.15">
      <c r="A31" s="13" t="s">
        <v>127</v>
      </c>
      <c r="B31" s="11" t="s">
        <v>129</v>
      </c>
      <c r="C31" s="8" t="s">
        <v>128</v>
      </c>
      <c r="D31" s="8" t="s">
        <v>128</v>
      </c>
      <c r="E31" s="10" t="s">
        <v>130</v>
      </c>
      <c r="F31" s="9" t="s">
        <v>131</v>
      </c>
      <c r="G31" s="5" t="s">
        <v>385</v>
      </c>
      <c r="H31" s="5" t="s">
        <v>132</v>
      </c>
      <c r="I31" s="6" t="s">
        <v>133</v>
      </c>
      <c r="J31" s="6" t="s">
        <v>133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47.25" customHeight="1" x14ac:dyDescent="0.15">
      <c r="A32" s="13" t="s">
        <v>134</v>
      </c>
      <c r="B32" s="11" t="s">
        <v>136</v>
      </c>
      <c r="C32" s="8" t="s">
        <v>135</v>
      </c>
      <c r="D32" s="8" t="s">
        <v>135</v>
      </c>
      <c r="E32" s="10" t="s">
        <v>130</v>
      </c>
      <c r="F32" s="9" t="s">
        <v>131</v>
      </c>
      <c r="G32" s="5" t="s">
        <v>385</v>
      </c>
      <c r="H32" s="5" t="s">
        <v>132</v>
      </c>
      <c r="I32" s="6" t="s">
        <v>133</v>
      </c>
      <c r="J32" s="6" t="s">
        <v>133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47.25" customHeight="1" x14ac:dyDescent="0.15">
      <c r="A33" s="13" t="s">
        <v>137</v>
      </c>
      <c r="B33" s="11" t="s">
        <v>139</v>
      </c>
      <c r="C33" s="8" t="s">
        <v>138</v>
      </c>
      <c r="D33" s="8" t="s">
        <v>138</v>
      </c>
      <c r="E33" s="10" t="s">
        <v>130</v>
      </c>
      <c r="F33" s="9" t="s">
        <v>131</v>
      </c>
      <c r="G33" s="5" t="s">
        <v>385</v>
      </c>
      <c r="H33" s="5" t="s">
        <v>132</v>
      </c>
      <c r="I33" s="6" t="s">
        <v>133</v>
      </c>
      <c r="J33" s="6" t="s">
        <v>133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47.25" customHeight="1" x14ac:dyDescent="0.15">
      <c r="A34" s="13" t="s">
        <v>140</v>
      </c>
      <c r="B34" s="11" t="s">
        <v>142</v>
      </c>
      <c r="C34" s="8" t="s">
        <v>141</v>
      </c>
      <c r="D34" s="8" t="s">
        <v>141</v>
      </c>
      <c r="E34" s="10" t="s">
        <v>130</v>
      </c>
      <c r="F34" s="9" t="s">
        <v>131</v>
      </c>
      <c r="G34" s="5" t="s">
        <v>385</v>
      </c>
      <c r="H34" s="5" t="s">
        <v>132</v>
      </c>
      <c r="I34" s="6" t="s">
        <v>133</v>
      </c>
      <c r="J34" s="6" t="s">
        <v>133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47.25" customHeight="1" x14ac:dyDescent="0.15">
      <c r="A35" s="13" t="s">
        <v>143</v>
      </c>
      <c r="B35" s="11" t="s">
        <v>129</v>
      </c>
      <c r="C35" s="8" t="s">
        <v>144</v>
      </c>
      <c r="D35" s="8" t="s">
        <v>144</v>
      </c>
      <c r="E35" s="10" t="s">
        <v>145</v>
      </c>
      <c r="F35" s="9" t="s">
        <v>146</v>
      </c>
      <c r="G35" s="5" t="s">
        <v>385</v>
      </c>
      <c r="H35" s="5" t="s">
        <v>132</v>
      </c>
      <c r="I35" s="6" t="s">
        <v>133</v>
      </c>
      <c r="J35" s="6" t="s">
        <v>133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47.25" customHeight="1" x14ac:dyDescent="0.15">
      <c r="A36" s="13" t="s">
        <v>147</v>
      </c>
      <c r="B36" s="11" t="s">
        <v>136</v>
      </c>
      <c r="C36" s="8" t="s">
        <v>148</v>
      </c>
      <c r="D36" s="8" t="s">
        <v>148</v>
      </c>
      <c r="E36" s="10" t="s">
        <v>145</v>
      </c>
      <c r="F36" s="9" t="s">
        <v>146</v>
      </c>
      <c r="G36" s="5" t="s">
        <v>385</v>
      </c>
      <c r="H36" s="5" t="s">
        <v>132</v>
      </c>
      <c r="I36" s="6" t="s">
        <v>133</v>
      </c>
      <c r="J36" s="6" t="s">
        <v>133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47.25" customHeight="1" x14ac:dyDescent="0.15">
      <c r="A37" s="13" t="s">
        <v>149</v>
      </c>
      <c r="B37" s="11" t="s">
        <v>139</v>
      </c>
      <c r="C37" s="8" t="s">
        <v>150</v>
      </c>
      <c r="D37" s="8" t="s">
        <v>150</v>
      </c>
      <c r="E37" s="10" t="s">
        <v>145</v>
      </c>
      <c r="F37" s="9" t="s">
        <v>146</v>
      </c>
      <c r="G37" s="5" t="s">
        <v>385</v>
      </c>
      <c r="H37" s="5" t="s">
        <v>132</v>
      </c>
      <c r="I37" s="6" t="s">
        <v>133</v>
      </c>
      <c r="J37" s="6" t="s">
        <v>133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47.25" customHeight="1" x14ac:dyDescent="0.15">
      <c r="A38" s="13" t="s">
        <v>151</v>
      </c>
      <c r="B38" s="11" t="s">
        <v>142</v>
      </c>
      <c r="C38" s="8" t="s">
        <v>152</v>
      </c>
      <c r="D38" s="8" t="s">
        <v>152</v>
      </c>
      <c r="E38" s="10" t="s">
        <v>145</v>
      </c>
      <c r="F38" s="9" t="s">
        <v>146</v>
      </c>
      <c r="G38" s="5" t="s">
        <v>385</v>
      </c>
      <c r="H38" s="5" t="s">
        <v>132</v>
      </c>
      <c r="I38" s="6" t="s">
        <v>133</v>
      </c>
      <c r="J38" s="6" t="s">
        <v>133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47.25" customHeight="1" x14ac:dyDescent="0.15">
      <c r="A39" s="13" t="s">
        <v>153</v>
      </c>
      <c r="B39" s="11" t="s">
        <v>129</v>
      </c>
      <c r="C39" s="8" t="s">
        <v>154</v>
      </c>
      <c r="D39" s="8" t="s">
        <v>154</v>
      </c>
      <c r="E39" s="10" t="s">
        <v>155</v>
      </c>
      <c r="F39" s="9" t="s">
        <v>156</v>
      </c>
      <c r="G39" s="5" t="s">
        <v>385</v>
      </c>
      <c r="H39" s="5" t="s">
        <v>132</v>
      </c>
      <c r="I39" s="6" t="s">
        <v>133</v>
      </c>
      <c r="J39" s="6" t="s">
        <v>133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47.25" customHeight="1" x14ac:dyDescent="0.15">
      <c r="A40" s="13" t="s">
        <v>157</v>
      </c>
      <c r="B40" s="11" t="s">
        <v>142</v>
      </c>
      <c r="C40" s="8" t="s">
        <v>158</v>
      </c>
      <c r="D40" s="8" t="s">
        <v>158</v>
      </c>
      <c r="E40" s="10" t="s">
        <v>155</v>
      </c>
      <c r="F40" s="9" t="s">
        <v>156</v>
      </c>
      <c r="G40" s="5" t="s">
        <v>385</v>
      </c>
      <c r="H40" s="5" t="s">
        <v>132</v>
      </c>
      <c r="I40" s="6" t="s">
        <v>133</v>
      </c>
      <c r="J40" s="6" t="s">
        <v>133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47.25" customHeight="1" x14ac:dyDescent="0.15">
      <c r="A41" s="13" t="s">
        <v>159</v>
      </c>
      <c r="B41" s="11" t="s">
        <v>160</v>
      </c>
      <c r="C41" s="8" t="str">
        <f>F41</f>
        <v>Subnational civil liberties unevenness</v>
      </c>
      <c r="D41" s="8" t="s">
        <v>161</v>
      </c>
      <c r="E41" s="10" t="s">
        <v>159</v>
      </c>
      <c r="F41" s="9" t="s">
        <v>162</v>
      </c>
      <c r="G41" s="5" t="s">
        <v>386</v>
      </c>
      <c r="H41" s="5" t="s">
        <v>163</v>
      </c>
      <c r="I41" s="6" t="s">
        <v>164</v>
      </c>
      <c r="J41" s="6" t="s">
        <v>165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47.25" customHeight="1" x14ac:dyDescent="0.15">
      <c r="A42" s="13" t="s">
        <v>166</v>
      </c>
      <c r="B42" s="11" t="s">
        <v>168</v>
      </c>
      <c r="C42" s="8" t="s">
        <v>167</v>
      </c>
      <c r="D42" s="8" t="s">
        <v>169</v>
      </c>
      <c r="E42" s="10" t="s">
        <v>170</v>
      </c>
      <c r="F42" s="9" t="s">
        <v>171</v>
      </c>
      <c r="G42" s="5" t="s">
        <v>386</v>
      </c>
      <c r="H42" s="5" t="s">
        <v>163</v>
      </c>
      <c r="I42" s="6" t="s">
        <v>164</v>
      </c>
      <c r="J42" s="6" t="s">
        <v>165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47.25" customHeight="1" x14ac:dyDescent="0.15">
      <c r="A43" s="13" t="s">
        <v>170</v>
      </c>
      <c r="B43" s="11" t="s">
        <v>160</v>
      </c>
      <c r="C43" s="8" t="str">
        <f t="shared" ref="C43:C62" si="0">F43</f>
        <v>Accountability index</v>
      </c>
      <c r="D43" s="8" t="s">
        <v>172</v>
      </c>
      <c r="E43" s="10" t="s">
        <v>170</v>
      </c>
      <c r="F43" s="9" t="s">
        <v>171</v>
      </c>
      <c r="G43" s="5" t="s">
        <v>386</v>
      </c>
      <c r="H43" s="5" t="s">
        <v>163</v>
      </c>
      <c r="I43" s="6" t="s">
        <v>164</v>
      </c>
      <c r="J43" s="6" t="s">
        <v>165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47.25" customHeight="1" x14ac:dyDescent="0.15">
      <c r="A44" s="13" t="s">
        <v>173</v>
      </c>
      <c r="B44" s="11" t="s">
        <v>160</v>
      </c>
      <c r="C44" s="8" t="str">
        <f t="shared" si="0"/>
        <v xml:space="preserve">Civil liberties index </v>
      </c>
      <c r="D44" s="8" t="str">
        <f t="shared" ref="D44:D62" si="1">_xlfn.CONCAT("12 month lag of ", LOWER(F44))</f>
        <v xml:space="preserve">12 month lag of civil liberties index </v>
      </c>
      <c r="E44" s="10" t="s">
        <v>173</v>
      </c>
      <c r="F44" s="9" t="s">
        <v>174</v>
      </c>
      <c r="G44" s="5" t="s">
        <v>386</v>
      </c>
      <c r="H44" s="5" t="s">
        <v>163</v>
      </c>
      <c r="I44" s="6" t="s">
        <v>164</v>
      </c>
      <c r="J44" s="6" t="s">
        <v>165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47.25" customHeight="1" x14ac:dyDescent="0.15">
      <c r="A45" s="13" t="s">
        <v>175</v>
      </c>
      <c r="B45" s="11" t="s">
        <v>160</v>
      </c>
      <c r="C45" s="8" t="str">
        <f t="shared" si="0"/>
        <v xml:space="preserve">Physical violence index </v>
      </c>
      <c r="D45" s="8" t="str">
        <f t="shared" si="1"/>
        <v xml:space="preserve">12 month lag of physical violence index </v>
      </c>
      <c r="E45" s="10" t="s">
        <v>175</v>
      </c>
      <c r="F45" s="9" t="s">
        <v>176</v>
      </c>
      <c r="G45" s="5" t="s">
        <v>386</v>
      </c>
      <c r="H45" s="5" t="s">
        <v>163</v>
      </c>
      <c r="I45" s="6" t="s">
        <v>164</v>
      </c>
      <c r="J45" s="6" t="s">
        <v>165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47.25" customHeight="1" x14ac:dyDescent="0.15">
      <c r="A46" s="13" t="s">
        <v>177</v>
      </c>
      <c r="B46" s="11" t="s">
        <v>160</v>
      </c>
      <c r="C46" s="8" t="str">
        <f t="shared" si="0"/>
        <v>Civil society participation index</v>
      </c>
      <c r="D46" s="8" t="str">
        <f t="shared" si="1"/>
        <v>12 month lag of civil society participation index</v>
      </c>
      <c r="E46" s="10" t="s">
        <v>177</v>
      </c>
      <c r="F46" s="9" t="s">
        <v>178</v>
      </c>
      <c r="G46" s="5" t="s">
        <v>386</v>
      </c>
      <c r="H46" s="5" t="s">
        <v>163</v>
      </c>
      <c r="I46" s="6" t="s">
        <v>164</v>
      </c>
      <c r="J46" s="6" t="s">
        <v>165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47.25" customHeight="1" x14ac:dyDescent="0.15">
      <c r="A47" s="13" t="s">
        <v>179</v>
      </c>
      <c r="B47" s="11" t="s">
        <v>160</v>
      </c>
      <c r="C47" s="8" t="str">
        <f t="shared" si="0"/>
        <v xml:space="preserve">Deliberative democracy index </v>
      </c>
      <c r="D47" s="8" t="str">
        <f t="shared" si="1"/>
        <v xml:space="preserve">12 month lag of deliberative democracy index </v>
      </c>
      <c r="E47" s="10" t="s">
        <v>179</v>
      </c>
      <c r="F47" s="9" t="s">
        <v>180</v>
      </c>
      <c r="G47" s="5" t="s">
        <v>386</v>
      </c>
      <c r="H47" s="5" t="s">
        <v>163</v>
      </c>
      <c r="I47" s="6" t="s">
        <v>164</v>
      </c>
      <c r="J47" s="6" t="s">
        <v>165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47.25" customHeight="1" x14ac:dyDescent="0.15">
      <c r="A48" s="13" t="s">
        <v>181</v>
      </c>
      <c r="B48" s="11" t="s">
        <v>160</v>
      </c>
      <c r="C48" s="8" t="str">
        <f t="shared" si="0"/>
        <v xml:space="preserve">Diagonal accountability index </v>
      </c>
      <c r="D48" s="8" t="str">
        <f t="shared" si="1"/>
        <v xml:space="preserve">12 month lag of diagonal accountability index </v>
      </c>
      <c r="E48" s="10" t="s">
        <v>181</v>
      </c>
      <c r="F48" s="9" t="s">
        <v>182</v>
      </c>
      <c r="G48" s="5" t="s">
        <v>386</v>
      </c>
      <c r="H48" s="5" t="s">
        <v>163</v>
      </c>
      <c r="I48" s="6" t="s">
        <v>164</v>
      </c>
      <c r="J48" s="6" t="s">
        <v>165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47.25" customHeight="1" x14ac:dyDescent="0.15">
      <c r="A49" s="13" t="s">
        <v>183</v>
      </c>
      <c r="B49" s="11" t="s">
        <v>160</v>
      </c>
      <c r="C49" s="8" t="str">
        <f t="shared" si="0"/>
        <v>Divided party control index</v>
      </c>
      <c r="D49" s="8" t="str">
        <f t="shared" si="1"/>
        <v>12 month lag of divided party control index</v>
      </c>
      <c r="E49" s="10" t="s">
        <v>183</v>
      </c>
      <c r="F49" s="9" t="s">
        <v>184</v>
      </c>
      <c r="G49" s="5" t="s">
        <v>386</v>
      </c>
      <c r="H49" s="5" t="s">
        <v>163</v>
      </c>
      <c r="I49" s="6" t="s">
        <v>164</v>
      </c>
      <c r="J49" s="6" t="s">
        <v>165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47.25" customHeight="1" x14ac:dyDescent="0.15">
      <c r="A50" s="13" t="s">
        <v>185</v>
      </c>
      <c r="B50" s="11" t="s">
        <v>160</v>
      </c>
      <c r="C50" s="8" t="str">
        <f t="shared" si="0"/>
        <v>Electoral component index</v>
      </c>
      <c r="D50" s="8" t="str">
        <f t="shared" si="1"/>
        <v>12 month lag of electoral component index</v>
      </c>
      <c r="E50" s="10" t="s">
        <v>185</v>
      </c>
      <c r="F50" s="9" t="s">
        <v>186</v>
      </c>
      <c r="G50" s="5" t="s">
        <v>386</v>
      </c>
      <c r="H50" s="5" t="s">
        <v>163</v>
      </c>
      <c r="I50" s="6" t="s">
        <v>164</v>
      </c>
      <c r="J50" s="6" t="s">
        <v>165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47.25" customHeight="1" x14ac:dyDescent="0.15">
      <c r="A51" s="13" t="s">
        <v>187</v>
      </c>
      <c r="B51" s="11" t="s">
        <v>160</v>
      </c>
      <c r="C51" s="8" t="str">
        <f t="shared" si="0"/>
        <v xml:space="preserve">Egalitarian component index </v>
      </c>
      <c r="D51" s="8" t="str">
        <f t="shared" si="1"/>
        <v xml:space="preserve">12 month lag of egalitarian component index </v>
      </c>
      <c r="E51" s="10" t="s">
        <v>187</v>
      </c>
      <c r="F51" s="9" t="s">
        <v>188</v>
      </c>
      <c r="G51" s="5" t="s">
        <v>386</v>
      </c>
      <c r="H51" s="5" t="s">
        <v>163</v>
      </c>
      <c r="I51" s="6" t="s">
        <v>164</v>
      </c>
      <c r="J51" s="6" t="s">
        <v>165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47.25" customHeight="1" x14ac:dyDescent="0.15">
      <c r="A52" s="13" t="s">
        <v>189</v>
      </c>
      <c r="B52" s="11" t="s">
        <v>160</v>
      </c>
      <c r="C52" s="8" t="str">
        <f t="shared" si="0"/>
        <v xml:space="preserve">Egalitarian democracy index </v>
      </c>
      <c r="D52" s="8" t="str">
        <f t="shared" si="1"/>
        <v xml:space="preserve">12 month lag of egalitarian democracy index </v>
      </c>
      <c r="E52" s="10" t="s">
        <v>189</v>
      </c>
      <c r="F52" s="9" t="s">
        <v>190</v>
      </c>
      <c r="G52" s="5" t="s">
        <v>386</v>
      </c>
      <c r="H52" s="5" t="s">
        <v>163</v>
      </c>
      <c r="I52" s="6" t="s">
        <v>164</v>
      </c>
      <c r="J52" s="6" t="s">
        <v>165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47.25" customHeight="1" x14ac:dyDescent="0.15">
      <c r="A53" s="13" t="s">
        <v>191</v>
      </c>
      <c r="B53" s="11" t="s">
        <v>160</v>
      </c>
      <c r="C53" s="8" t="str">
        <f t="shared" si="0"/>
        <v>Military dimension index</v>
      </c>
      <c r="D53" s="8" t="str">
        <f t="shared" si="1"/>
        <v>12 month lag of military dimension index</v>
      </c>
      <c r="E53" s="10" t="s">
        <v>191</v>
      </c>
      <c r="F53" s="9" t="s">
        <v>192</v>
      </c>
      <c r="G53" s="5" t="s">
        <v>386</v>
      </c>
      <c r="H53" s="5" t="s">
        <v>163</v>
      </c>
      <c r="I53" s="6" t="s">
        <v>164</v>
      </c>
      <c r="J53" s="6" t="s">
        <v>165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47.25" customHeight="1" x14ac:dyDescent="0.15">
      <c r="A54" s="13" t="s">
        <v>193</v>
      </c>
      <c r="B54" s="11" t="s">
        <v>160</v>
      </c>
      <c r="C54" s="8" t="str">
        <f t="shared" si="0"/>
        <v>Ruling party dimension index</v>
      </c>
      <c r="D54" s="8" t="str">
        <f t="shared" si="1"/>
        <v>12 month lag of ruling party dimension index</v>
      </c>
      <c r="E54" s="10" t="s">
        <v>193</v>
      </c>
      <c r="F54" s="9" t="s">
        <v>194</v>
      </c>
      <c r="G54" s="5" t="s">
        <v>386</v>
      </c>
      <c r="H54" s="5" t="s">
        <v>163</v>
      </c>
      <c r="I54" s="6" t="s">
        <v>164</v>
      </c>
      <c r="J54" s="6" t="s">
        <v>165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47.25" customHeight="1" x14ac:dyDescent="0.15">
      <c r="A55" s="13" t="s">
        <v>195</v>
      </c>
      <c r="B55" s="11" t="s">
        <v>160</v>
      </c>
      <c r="C55" s="8" t="str">
        <f t="shared" si="0"/>
        <v>Executive corruption index</v>
      </c>
      <c r="D55" s="8" t="str">
        <f t="shared" si="1"/>
        <v>12 month lag of executive corruption index</v>
      </c>
      <c r="E55" s="10" t="s">
        <v>195</v>
      </c>
      <c r="F55" s="9" t="s">
        <v>196</v>
      </c>
      <c r="G55" s="5" t="s">
        <v>386</v>
      </c>
      <c r="H55" s="5" t="s">
        <v>163</v>
      </c>
      <c r="I55" s="6" t="s">
        <v>164</v>
      </c>
      <c r="J55" s="6" t="s">
        <v>165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47.25" customHeight="1" x14ac:dyDescent="0.15">
      <c r="A56" s="13" t="s">
        <v>197</v>
      </c>
      <c r="B56" s="11" t="s">
        <v>160</v>
      </c>
      <c r="C56" s="8" t="str">
        <f t="shared" si="0"/>
        <v xml:space="preserve">Freedom of association thick index </v>
      </c>
      <c r="D56" s="8" t="str">
        <f t="shared" si="1"/>
        <v xml:space="preserve">12 month lag of freedom of association thick index </v>
      </c>
      <c r="E56" s="10" t="s">
        <v>197</v>
      </c>
      <c r="F56" s="9" t="s">
        <v>198</v>
      </c>
      <c r="G56" s="5" t="s">
        <v>386</v>
      </c>
      <c r="H56" s="5" t="s">
        <v>163</v>
      </c>
      <c r="I56" s="6" t="s">
        <v>164</v>
      </c>
      <c r="J56" s="6" t="s">
        <v>165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47.25" customHeight="1" x14ac:dyDescent="0.15">
      <c r="A57" s="13" t="s">
        <v>199</v>
      </c>
      <c r="B57" s="11" t="s">
        <v>160</v>
      </c>
      <c r="C57" s="8" t="str">
        <f t="shared" si="0"/>
        <v xml:space="preserve">Freedom of expression index </v>
      </c>
      <c r="D57" s="8" t="str">
        <f t="shared" si="1"/>
        <v xml:space="preserve">12 month lag of freedom of expression index </v>
      </c>
      <c r="E57" s="10" t="s">
        <v>199</v>
      </c>
      <c r="F57" s="9" t="s">
        <v>200</v>
      </c>
      <c r="G57" s="5" t="s">
        <v>386</v>
      </c>
      <c r="H57" s="5" t="s">
        <v>163</v>
      </c>
      <c r="I57" s="6" t="s">
        <v>164</v>
      </c>
      <c r="J57" s="6" t="s">
        <v>165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47.25" customHeight="1" x14ac:dyDescent="0.15">
      <c r="A58" s="13" t="s">
        <v>201</v>
      </c>
      <c r="B58" s="11" t="s">
        <v>160</v>
      </c>
      <c r="C58" s="8" t="str">
        <f t="shared" si="0"/>
        <v xml:space="preserve">Women civil society participation index </v>
      </c>
      <c r="D58" s="8" t="str">
        <f t="shared" si="1"/>
        <v xml:space="preserve">12 month lag of women civil society participation index </v>
      </c>
      <c r="E58" s="10" t="s">
        <v>201</v>
      </c>
      <c r="F58" s="9" t="s">
        <v>202</v>
      </c>
      <c r="G58" s="5" t="s">
        <v>386</v>
      </c>
      <c r="H58" s="5" t="s">
        <v>163</v>
      </c>
      <c r="I58" s="6" t="s">
        <v>164</v>
      </c>
      <c r="J58" s="6" t="s">
        <v>165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47.25" customHeight="1" x14ac:dyDescent="0.15">
      <c r="A59" s="13" t="s">
        <v>203</v>
      </c>
      <c r="B59" s="11" t="s">
        <v>160</v>
      </c>
      <c r="C59" s="8" t="str">
        <f t="shared" si="0"/>
        <v xml:space="preserve">Women political empowerment index </v>
      </c>
      <c r="D59" s="8" t="str">
        <f t="shared" si="1"/>
        <v xml:space="preserve">12 month lag of women political empowerment index </v>
      </c>
      <c r="E59" s="10" t="s">
        <v>203</v>
      </c>
      <c r="F59" s="9" t="s">
        <v>204</v>
      </c>
      <c r="G59" s="5" t="s">
        <v>386</v>
      </c>
      <c r="H59" s="5" t="s">
        <v>163</v>
      </c>
      <c r="I59" s="6" t="s">
        <v>164</v>
      </c>
      <c r="J59" s="6" t="s">
        <v>165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47.25" customHeight="1" x14ac:dyDescent="0.15">
      <c r="A60" s="13" t="s">
        <v>205</v>
      </c>
      <c r="B60" s="11" t="s">
        <v>160</v>
      </c>
      <c r="C60" s="8" t="str">
        <f t="shared" si="0"/>
        <v>Women political participation index</v>
      </c>
      <c r="D60" s="8" t="str">
        <f t="shared" si="1"/>
        <v>12 month lag of women political participation index</v>
      </c>
      <c r="E60" s="10" t="s">
        <v>205</v>
      </c>
      <c r="F60" s="9" t="s">
        <v>206</v>
      </c>
      <c r="G60" s="5" t="s">
        <v>386</v>
      </c>
      <c r="H60" s="5" t="s">
        <v>163</v>
      </c>
      <c r="I60" s="6" t="s">
        <v>164</v>
      </c>
      <c r="J60" s="6" t="s">
        <v>165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47.25" customHeight="1" x14ac:dyDescent="0.15">
      <c r="A61" s="13" t="s">
        <v>207</v>
      </c>
      <c r="B61" s="11" t="s">
        <v>160</v>
      </c>
      <c r="C61" s="8" t="str">
        <f t="shared" si="0"/>
        <v>Horizontal accountability index</v>
      </c>
      <c r="D61" s="8" t="str">
        <f t="shared" si="1"/>
        <v>12 month lag of horizontal accountability index</v>
      </c>
      <c r="E61" s="10" t="s">
        <v>207</v>
      </c>
      <c r="F61" s="9" t="s">
        <v>208</v>
      </c>
      <c r="G61" s="5" t="s">
        <v>386</v>
      </c>
      <c r="H61" s="5" t="s">
        <v>163</v>
      </c>
      <c r="I61" s="6" t="s">
        <v>164</v>
      </c>
      <c r="J61" s="6" t="s">
        <v>165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47.25" customHeight="1" x14ac:dyDescent="0.15">
      <c r="A62" s="13" t="s">
        <v>209</v>
      </c>
      <c r="B62" s="11" t="s">
        <v>160</v>
      </c>
      <c r="C62" s="8" t="str">
        <f t="shared" si="0"/>
        <v>Presidential election aborted</v>
      </c>
      <c r="D62" s="8" t="str">
        <f t="shared" si="1"/>
        <v>12 month lag of presidential election aborted</v>
      </c>
      <c r="E62" s="10" t="s">
        <v>209</v>
      </c>
      <c r="F62" s="9" t="s">
        <v>210</v>
      </c>
      <c r="G62" s="5" t="s">
        <v>386</v>
      </c>
      <c r="H62" s="5" t="s">
        <v>163</v>
      </c>
      <c r="I62" s="6" t="s">
        <v>164</v>
      </c>
      <c r="J62" s="6" t="s">
        <v>165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47.25" customHeight="1" x14ac:dyDescent="0.15">
      <c r="A63" s="13" t="s">
        <v>211</v>
      </c>
      <c r="B63" s="11" t="s">
        <v>168</v>
      </c>
      <c r="C63" s="8" t="s">
        <v>212</v>
      </c>
      <c r="D63" s="8" t="s">
        <v>213</v>
      </c>
      <c r="E63" s="10" t="s">
        <v>214</v>
      </c>
      <c r="F63" s="9" t="s">
        <v>215</v>
      </c>
      <c r="G63" s="5" t="s">
        <v>386</v>
      </c>
      <c r="H63" s="5" t="s">
        <v>163</v>
      </c>
      <c r="I63" s="6" t="s">
        <v>164</v>
      </c>
      <c r="J63" s="6" t="s">
        <v>165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47.25" customHeight="1" x14ac:dyDescent="0.15">
      <c r="A64" s="13" t="s">
        <v>214</v>
      </c>
      <c r="B64" s="11" t="s">
        <v>160</v>
      </c>
      <c r="C64" s="8" t="str">
        <f>F64</f>
        <v>Liberal democracy index</v>
      </c>
      <c r="D64" s="8" t="str">
        <f>_xlfn.CONCAT("12 month lag of ", LOWER(F64))</f>
        <v>12 month lag of liberal democracy index</v>
      </c>
      <c r="E64" s="10" t="s">
        <v>214</v>
      </c>
      <c r="F64" s="9" t="s">
        <v>215</v>
      </c>
      <c r="G64" s="5" t="s">
        <v>386</v>
      </c>
      <c r="H64" s="5" t="s">
        <v>163</v>
      </c>
      <c r="I64" s="6" t="s">
        <v>164</v>
      </c>
      <c r="J64" s="6" t="s">
        <v>165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47.25" customHeight="1" x14ac:dyDescent="0.15">
      <c r="A65" s="13" t="s">
        <v>216</v>
      </c>
      <c r="B65" s="11" t="s">
        <v>218</v>
      </c>
      <c r="C65" s="8" t="s">
        <v>217</v>
      </c>
      <c r="D65" s="8" t="s">
        <v>219</v>
      </c>
      <c r="E65" s="10" t="s">
        <v>214</v>
      </c>
      <c r="F65" s="9" t="s">
        <v>215</v>
      </c>
      <c r="G65" s="5" t="s">
        <v>386</v>
      </c>
      <c r="H65" s="5" t="s">
        <v>163</v>
      </c>
      <c r="I65" s="6" t="s">
        <v>164</v>
      </c>
      <c r="J65" s="6" t="s">
        <v>165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47.25" customHeight="1" x14ac:dyDescent="0.15">
      <c r="A66" s="13" t="s">
        <v>220</v>
      </c>
      <c r="B66" s="11" t="s">
        <v>160</v>
      </c>
      <c r="C66" s="8" t="str">
        <f t="shared" ref="C66:C72" si="2">F66</f>
        <v xml:space="preserve">Neopatrimonial Rule Index </v>
      </c>
      <c r="D66" s="8" t="str">
        <f t="shared" ref="D66:D72" si="3">_xlfn.CONCAT("12 month lag of ", LOWER(F66))</f>
        <v xml:space="preserve">12 month lag of neopatrimonial rule index </v>
      </c>
      <c r="E66" s="10" t="s">
        <v>220</v>
      </c>
      <c r="F66" s="9" t="s">
        <v>221</v>
      </c>
      <c r="G66" s="5" t="s">
        <v>386</v>
      </c>
      <c r="H66" s="5" t="s">
        <v>163</v>
      </c>
      <c r="I66" s="6" t="s">
        <v>164</v>
      </c>
      <c r="J66" s="6" t="s">
        <v>165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47.25" customHeight="1" x14ac:dyDescent="0.15">
      <c r="A67" s="13" t="s">
        <v>222</v>
      </c>
      <c r="B67" s="11" t="s">
        <v>160</v>
      </c>
      <c r="C67" s="8" t="str">
        <f t="shared" si="2"/>
        <v>Participatory component index</v>
      </c>
      <c r="D67" s="8" t="str">
        <f t="shared" si="3"/>
        <v>12 month lag of participatory component index</v>
      </c>
      <c r="E67" s="10" t="s">
        <v>222</v>
      </c>
      <c r="F67" s="9" t="s">
        <v>223</v>
      </c>
      <c r="G67" s="5" t="s">
        <v>386</v>
      </c>
      <c r="H67" s="5" t="s">
        <v>163</v>
      </c>
      <c r="I67" s="6" t="s">
        <v>164</v>
      </c>
      <c r="J67" s="6" t="s">
        <v>165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47.25" customHeight="1" x14ac:dyDescent="0.15">
      <c r="A68" s="13" t="s">
        <v>224</v>
      </c>
      <c r="B68" s="11" t="s">
        <v>160</v>
      </c>
      <c r="C68" s="8" t="str">
        <f t="shared" si="2"/>
        <v xml:space="preserve">Participatory democracy index </v>
      </c>
      <c r="D68" s="8" t="str">
        <f t="shared" si="3"/>
        <v xml:space="preserve">12 month lag of participatory democracy index </v>
      </c>
      <c r="E68" s="10" t="s">
        <v>224</v>
      </c>
      <c r="F68" s="9" t="s">
        <v>225</v>
      </c>
      <c r="G68" s="5" t="s">
        <v>386</v>
      </c>
      <c r="H68" s="5" t="s">
        <v>163</v>
      </c>
      <c r="I68" s="6" t="s">
        <v>164</v>
      </c>
      <c r="J68" s="6" t="s">
        <v>165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47.25" customHeight="1" x14ac:dyDescent="0.15">
      <c r="A69" s="13" t="s">
        <v>226</v>
      </c>
      <c r="B69" s="11" t="s">
        <v>160</v>
      </c>
      <c r="C69" s="8" t="str">
        <f t="shared" si="2"/>
        <v>Public sector corruption index</v>
      </c>
      <c r="D69" s="8" t="str">
        <f t="shared" si="3"/>
        <v>12 month lag of public sector corruption index</v>
      </c>
      <c r="E69" s="10" t="s">
        <v>226</v>
      </c>
      <c r="F69" s="9" t="s">
        <v>227</v>
      </c>
      <c r="G69" s="5" t="s">
        <v>386</v>
      </c>
      <c r="H69" s="5" t="s">
        <v>163</v>
      </c>
      <c r="I69" s="6" t="s">
        <v>164</v>
      </c>
      <c r="J69" s="6" t="s">
        <v>165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47.25" customHeight="1" x14ac:dyDescent="0.15">
      <c r="A70" s="13" t="s">
        <v>228</v>
      </c>
      <c r="B70" s="11" t="s">
        <v>160</v>
      </c>
      <c r="C70" s="8" t="str">
        <f t="shared" si="2"/>
        <v>Rule of law index</v>
      </c>
      <c r="D70" s="8" t="str">
        <f t="shared" si="3"/>
        <v>12 month lag of rule of law index</v>
      </c>
      <c r="E70" s="10" t="s">
        <v>228</v>
      </c>
      <c r="F70" s="9" t="s">
        <v>229</v>
      </c>
      <c r="G70" s="5" t="s">
        <v>386</v>
      </c>
      <c r="H70" s="5" t="s">
        <v>163</v>
      </c>
      <c r="I70" s="6" t="s">
        <v>164</v>
      </c>
      <c r="J70" s="6" t="s">
        <v>165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47.25" customHeight="1" x14ac:dyDescent="0.15">
      <c r="A71" s="13" t="s">
        <v>230</v>
      </c>
      <c r="B71" s="11" t="s">
        <v>160</v>
      </c>
      <c r="C71" s="8" t="str">
        <f t="shared" si="2"/>
        <v>Vertical accountability index</v>
      </c>
      <c r="D71" s="8" t="str">
        <f t="shared" si="3"/>
        <v>12 month lag of vertical accountability index</v>
      </c>
      <c r="E71" s="10" t="s">
        <v>230</v>
      </c>
      <c r="F71" s="9" t="s">
        <v>231</v>
      </c>
      <c r="G71" s="5" t="s">
        <v>386</v>
      </c>
      <c r="H71" s="5" t="s">
        <v>163</v>
      </c>
      <c r="I71" s="6" t="s">
        <v>164</v>
      </c>
      <c r="J71" s="6" t="s">
        <v>165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47.25" customHeight="1" x14ac:dyDescent="0.15">
      <c r="A72" s="13" t="s">
        <v>232</v>
      </c>
      <c r="B72" s="11" t="s">
        <v>160</v>
      </c>
      <c r="C72" s="8" t="str">
        <f t="shared" si="2"/>
        <v>Access to justice</v>
      </c>
      <c r="D72" s="8" t="str">
        <f t="shared" si="3"/>
        <v>12 month lag of access to justice</v>
      </c>
      <c r="E72" s="10" t="s">
        <v>232</v>
      </c>
      <c r="F72" s="9" t="s">
        <v>233</v>
      </c>
      <c r="G72" s="5" t="s">
        <v>386</v>
      </c>
      <c r="H72" s="5" t="s">
        <v>163</v>
      </c>
      <c r="I72" s="6" t="s">
        <v>164</v>
      </c>
      <c r="J72" s="6" t="s">
        <v>165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47.25" customHeight="1" x14ac:dyDescent="0.15">
      <c r="A73" s="13" t="s">
        <v>234</v>
      </c>
      <c r="B73" s="11" t="s">
        <v>168</v>
      </c>
      <c r="C73" s="8" t="s">
        <v>235</v>
      </c>
      <c r="D73" s="8" t="s">
        <v>236</v>
      </c>
      <c r="E73" s="10" t="s">
        <v>237</v>
      </c>
      <c r="F73" s="9" t="s">
        <v>238</v>
      </c>
      <c r="G73" s="5" t="s">
        <v>386</v>
      </c>
      <c r="H73" s="5" t="s">
        <v>163</v>
      </c>
      <c r="I73" s="6" t="s">
        <v>164</v>
      </c>
      <c r="J73" s="6" t="s">
        <v>165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47.25" customHeight="1" x14ac:dyDescent="0.15">
      <c r="A74" s="13" t="s">
        <v>237</v>
      </c>
      <c r="B74" s="11" t="s">
        <v>160</v>
      </c>
      <c r="C74" s="8" t="str">
        <f>F74</f>
        <v xml:space="preserve">Freedom of domestic movement </v>
      </c>
      <c r="D74" s="8" t="str">
        <f>_xlfn.CONCAT("12 month lag of ", LOWER(F74))</f>
        <v xml:space="preserve">12 month lag of freedom of domestic movement </v>
      </c>
      <c r="E74" s="10" t="s">
        <v>237</v>
      </c>
      <c r="F74" s="9" t="s">
        <v>238</v>
      </c>
      <c r="G74" s="5" t="s">
        <v>386</v>
      </c>
      <c r="H74" s="5" t="s">
        <v>163</v>
      </c>
      <c r="I74" s="6" t="s">
        <v>164</v>
      </c>
      <c r="J74" s="6" t="s">
        <v>165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47.25" customHeight="1" x14ac:dyDescent="0.15">
      <c r="A75" s="13" t="s">
        <v>239</v>
      </c>
      <c r="B75" s="11" t="s">
        <v>160</v>
      </c>
      <c r="C75" s="8" t="str">
        <f>F75</f>
        <v>Property rights</v>
      </c>
      <c r="D75" s="8" t="str">
        <f>_xlfn.CONCAT("12 month lag of ", LOWER(F75))</f>
        <v>12 month lag of property rights</v>
      </c>
      <c r="E75" s="10" t="s">
        <v>239</v>
      </c>
      <c r="F75" s="9" t="s">
        <v>240</v>
      </c>
      <c r="G75" s="5" t="s">
        <v>386</v>
      </c>
      <c r="H75" s="5" t="s">
        <v>163</v>
      </c>
      <c r="I75" s="6" t="s">
        <v>164</v>
      </c>
      <c r="J75" s="6" t="s">
        <v>165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47.25" customHeight="1" x14ac:dyDescent="0.15">
      <c r="A76" s="13" t="s">
        <v>241</v>
      </c>
      <c r="B76" s="11" t="s">
        <v>168</v>
      </c>
      <c r="C76" s="8" t="s">
        <v>242</v>
      </c>
      <c r="D76" s="8" t="s">
        <v>243</v>
      </c>
      <c r="E76" s="10" t="s">
        <v>244</v>
      </c>
      <c r="F76" s="9" t="s">
        <v>245</v>
      </c>
      <c r="G76" s="5" t="s">
        <v>386</v>
      </c>
      <c r="H76" s="5" t="s">
        <v>163</v>
      </c>
      <c r="I76" s="6" t="s">
        <v>164</v>
      </c>
      <c r="J76" s="6" t="s">
        <v>165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47.25" customHeight="1" x14ac:dyDescent="0.15">
      <c r="A77" s="13" t="s">
        <v>244</v>
      </c>
      <c r="B77" s="11" t="s">
        <v>160</v>
      </c>
      <c r="C77" s="8" t="str">
        <f t="shared" ref="C77:C94" si="4">F77</f>
        <v>Equality before the law and individual liberty index</v>
      </c>
      <c r="D77" s="8" t="str">
        <f t="shared" ref="D77:D94" si="5">_xlfn.CONCAT("12 month lag of ", LOWER(F77))</f>
        <v>12 month lag of equality before the law and individual liberty index</v>
      </c>
      <c r="E77" s="10" t="s">
        <v>244</v>
      </c>
      <c r="F77" s="9" t="s">
        <v>245</v>
      </c>
      <c r="G77" s="5" t="s">
        <v>386</v>
      </c>
      <c r="H77" s="5" t="s">
        <v>163</v>
      </c>
      <c r="I77" s="6" t="s">
        <v>164</v>
      </c>
      <c r="J77" s="6" t="s">
        <v>165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47.25" customHeight="1" x14ac:dyDescent="0.15">
      <c r="A78" s="13" t="s">
        <v>246</v>
      </c>
      <c r="B78" s="11" t="s">
        <v>160</v>
      </c>
      <c r="C78" s="8" t="str">
        <f t="shared" si="4"/>
        <v>Freedom from forced labor</v>
      </c>
      <c r="D78" s="8" t="str">
        <f t="shared" si="5"/>
        <v>12 month lag of freedom from forced labor</v>
      </c>
      <c r="E78" s="10" t="s">
        <v>246</v>
      </c>
      <c r="F78" s="9" t="s">
        <v>247</v>
      </c>
      <c r="G78" s="5" t="s">
        <v>386</v>
      </c>
      <c r="H78" s="5" t="s">
        <v>163</v>
      </c>
      <c r="I78" s="6" t="s">
        <v>164</v>
      </c>
      <c r="J78" s="6" t="s">
        <v>165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47.25" customHeight="1" x14ac:dyDescent="0.15">
      <c r="A79" s="13" t="s">
        <v>248</v>
      </c>
      <c r="B79" s="11" t="s">
        <v>160</v>
      </c>
      <c r="C79" s="8" t="str">
        <f t="shared" si="4"/>
        <v xml:space="preserve">Core civil society index </v>
      </c>
      <c r="D79" s="8" t="str">
        <f t="shared" si="5"/>
        <v xml:space="preserve">12 month lag of core civil society index </v>
      </c>
      <c r="E79" s="10" t="s">
        <v>248</v>
      </c>
      <c r="F79" s="9" t="s">
        <v>249</v>
      </c>
      <c r="G79" s="5" t="s">
        <v>386</v>
      </c>
      <c r="H79" s="5" t="s">
        <v>163</v>
      </c>
      <c r="I79" s="6" t="s">
        <v>164</v>
      </c>
      <c r="J79" s="6" t="s">
        <v>165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47.25" customHeight="1" x14ac:dyDescent="0.15">
      <c r="A80" s="13" t="s">
        <v>250</v>
      </c>
      <c r="B80" s="11" t="s">
        <v>160</v>
      </c>
      <c r="C80" s="8" t="str">
        <f t="shared" si="4"/>
        <v>Direct popular vote index</v>
      </c>
      <c r="D80" s="8" t="str">
        <f t="shared" si="5"/>
        <v>12 month lag of direct popular vote index</v>
      </c>
      <c r="E80" s="10" t="s">
        <v>250</v>
      </c>
      <c r="F80" s="9" t="s">
        <v>251</v>
      </c>
      <c r="G80" s="5" t="s">
        <v>386</v>
      </c>
      <c r="H80" s="5" t="s">
        <v>163</v>
      </c>
      <c r="I80" s="6" t="s">
        <v>164</v>
      </c>
      <c r="J80" s="6" t="s">
        <v>165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47.25" customHeight="1" x14ac:dyDescent="0.15">
      <c r="A81" s="13" t="s">
        <v>252</v>
      </c>
      <c r="B81" s="11" t="s">
        <v>160</v>
      </c>
      <c r="C81" s="8" t="str">
        <f t="shared" si="4"/>
        <v>Deliberative component index</v>
      </c>
      <c r="D81" s="8" t="str">
        <f t="shared" si="5"/>
        <v>12 month lag of deliberative component index</v>
      </c>
      <c r="E81" s="10" t="s">
        <v>252</v>
      </c>
      <c r="F81" s="9" t="s">
        <v>253</v>
      </c>
      <c r="G81" s="5" t="s">
        <v>386</v>
      </c>
      <c r="H81" s="5" t="s">
        <v>163</v>
      </c>
      <c r="I81" s="6" t="s">
        <v>164</v>
      </c>
      <c r="J81" s="6" t="s">
        <v>165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47.25" customHeight="1" x14ac:dyDescent="0.15">
      <c r="A82" s="13" t="s">
        <v>254</v>
      </c>
      <c r="B82" s="11" t="s">
        <v>160</v>
      </c>
      <c r="C82" s="8" t="str">
        <f t="shared" si="4"/>
        <v xml:space="preserve">Equal access index </v>
      </c>
      <c r="D82" s="8" t="str">
        <f t="shared" si="5"/>
        <v xml:space="preserve">12 month lag of equal access index </v>
      </c>
      <c r="E82" s="10" t="s">
        <v>254</v>
      </c>
      <c r="F82" s="9" t="s">
        <v>255</v>
      </c>
      <c r="G82" s="5" t="s">
        <v>386</v>
      </c>
      <c r="H82" s="5" t="s">
        <v>163</v>
      </c>
      <c r="I82" s="6" t="s">
        <v>164</v>
      </c>
      <c r="J82" s="6" t="s">
        <v>165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47.25" customHeight="1" x14ac:dyDescent="0.15">
      <c r="A83" s="13" t="s">
        <v>256</v>
      </c>
      <c r="B83" s="11" t="s">
        <v>160</v>
      </c>
      <c r="C83" s="8" t="str">
        <f t="shared" si="4"/>
        <v>Equal distribution of resources index</v>
      </c>
      <c r="D83" s="8" t="str">
        <f t="shared" si="5"/>
        <v>12 month lag of equal distribution of resources index</v>
      </c>
      <c r="E83" s="10" t="s">
        <v>256</v>
      </c>
      <c r="F83" s="9" t="s">
        <v>257</v>
      </c>
      <c r="G83" s="5" t="s">
        <v>386</v>
      </c>
      <c r="H83" s="5" t="s">
        <v>163</v>
      </c>
      <c r="I83" s="6" t="s">
        <v>164</v>
      </c>
      <c r="J83" s="6" t="s">
        <v>165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47.25" customHeight="1" x14ac:dyDescent="0.15">
      <c r="A84" s="13" t="s">
        <v>258</v>
      </c>
      <c r="B84" s="11" t="s">
        <v>160</v>
      </c>
      <c r="C84" s="8" t="str">
        <f t="shared" si="4"/>
        <v xml:space="preserve">Equal protection index </v>
      </c>
      <c r="D84" s="8" t="str">
        <f t="shared" si="5"/>
        <v xml:space="preserve">12 month lag of equal protection index </v>
      </c>
      <c r="E84" s="10" t="s">
        <v>258</v>
      </c>
      <c r="F84" s="9" t="s">
        <v>259</v>
      </c>
      <c r="G84" s="5" t="s">
        <v>386</v>
      </c>
      <c r="H84" s="5" t="s">
        <v>163</v>
      </c>
      <c r="I84" s="6" t="s">
        <v>164</v>
      </c>
      <c r="J84" s="6" t="s">
        <v>165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47.25" customHeight="1" x14ac:dyDescent="0.15">
      <c r="A85" s="13" t="s">
        <v>260</v>
      </c>
      <c r="B85" s="11" t="s">
        <v>160</v>
      </c>
      <c r="C85" s="8" t="str">
        <f t="shared" si="4"/>
        <v xml:space="preserve">Clean elections index </v>
      </c>
      <c r="D85" s="8" t="str">
        <f t="shared" si="5"/>
        <v xml:space="preserve">12 month lag of clean elections index </v>
      </c>
      <c r="E85" s="10" t="s">
        <v>260</v>
      </c>
      <c r="F85" s="9" t="s">
        <v>261</v>
      </c>
      <c r="G85" s="5" t="s">
        <v>386</v>
      </c>
      <c r="H85" s="5" t="s">
        <v>163</v>
      </c>
      <c r="I85" s="6" t="s">
        <v>164</v>
      </c>
      <c r="J85" s="6" t="s">
        <v>165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47.25" customHeight="1" x14ac:dyDescent="0.15">
      <c r="A86" s="13" t="s">
        <v>262</v>
      </c>
      <c r="B86" s="11" t="s">
        <v>160</v>
      </c>
      <c r="C86" s="8" t="str">
        <f t="shared" si="4"/>
        <v>Regional government index</v>
      </c>
      <c r="D86" s="8" t="str">
        <f t="shared" si="5"/>
        <v>12 month lag of regional government index</v>
      </c>
      <c r="E86" s="10" t="s">
        <v>262</v>
      </c>
      <c r="F86" s="9" t="s">
        <v>263</v>
      </c>
      <c r="G86" s="5" t="s">
        <v>386</v>
      </c>
      <c r="H86" s="5" t="s">
        <v>163</v>
      </c>
      <c r="I86" s="6" t="s">
        <v>164</v>
      </c>
      <c r="J86" s="6" t="s">
        <v>165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47.25" customHeight="1" x14ac:dyDescent="0.15">
      <c r="A87" s="13" t="s">
        <v>264</v>
      </c>
      <c r="B87" s="11" t="s">
        <v>160</v>
      </c>
      <c r="C87" s="8" t="str">
        <f t="shared" si="4"/>
        <v>Alternative sources of information index</v>
      </c>
      <c r="D87" s="8" t="str">
        <f t="shared" si="5"/>
        <v>12 month lag of alternative sources of information index</v>
      </c>
      <c r="E87" s="10" t="s">
        <v>264</v>
      </c>
      <c r="F87" s="9" t="s">
        <v>265</v>
      </c>
      <c r="G87" s="5" t="s">
        <v>386</v>
      </c>
      <c r="H87" s="5" t="s">
        <v>163</v>
      </c>
      <c r="I87" s="6" t="s">
        <v>164</v>
      </c>
      <c r="J87" s="6" t="s">
        <v>165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47.25" customHeight="1" x14ac:dyDescent="0.15">
      <c r="A88" s="13" t="s">
        <v>266</v>
      </c>
      <c r="B88" s="11" t="s">
        <v>160</v>
      </c>
      <c r="C88" s="8" t="str">
        <f t="shared" si="4"/>
        <v>Clientelism Index</v>
      </c>
      <c r="D88" s="8" t="str">
        <f t="shared" si="5"/>
        <v>12 month lag of clientelism index</v>
      </c>
      <c r="E88" s="10" t="s">
        <v>266</v>
      </c>
      <c r="F88" s="9" t="s">
        <v>267</v>
      </c>
      <c r="G88" s="5" t="s">
        <v>386</v>
      </c>
      <c r="H88" s="5" t="s">
        <v>163</v>
      </c>
      <c r="I88" s="6" t="s">
        <v>164</v>
      </c>
      <c r="J88" s="6" t="s">
        <v>165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47.25" customHeight="1" x14ac:dyDescent="0.15">
      <c r="A89" s="13" t="s">
        <v>268</v>
      </c>
      <c r="B89" s="11" t="s">
        <v>160</v>
      </c>
      <c r="C89" s="8" t="str">
        <f t="shared" si="4"/>
        <v>Presidentialism Index</v>
      </c>
      <c r="D89" s="8" t="str">
        <f t="shared" si="5"/>
        <v>12 month lag of presidentialism index</v>
      </c>
      <c r="E89" s="10" t="s">
        <v>268</v>
      </c>
      <c r="F89" s="9" t="s">
        <v>269</v>
      </c>
      <c r="G89" s="5" t="s">
        <v>386</v>
      </c>
      <c r="H89" s="5" t="s">
        <v>163</v>
      </c>
      <c r="I89" s="6" t="s">
        <v>164</v>
      </c>
      <c r="J89" s="6" t="s">
        <v>165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47.25" customHeight="1" x14ac:dyDescent="0.15">
      <c r="A90" s="13" t="s">
        <v>270</v>
      </c>
      <c r="B90" s="11" t="s">
        <v>160</v>
      </c>
      <c r="C90" s="8" t="str">
        <f t="shared" si="4"/>
        <v>Regime corruption</v>
      </c>
      <c r="D90" s="8" t="str">
        <f t="shared" si="5"/>
        <v>12 month lag of regime corruption</v>
      </c>
      <c r="E90" s="10" t="s">
        <v>270</v>
      </c>
      <c r="F90" s="9" t="s">
        <v>271</v>
      </c>
      <c r="G90" s="5" t="s">
        <v>386</v>
      </c>
      <c r="H90" s="5" t="s">
        <v>163</v>
      </c>
      <c r="I90" s="6" t="s">
        <v>164</v>
      </c>
      <c r="J90" s="6" t="s">
        <v>165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47.25" customHeight="1" x14ac:dyDescent="0.15">
      <c r="A91" s="13" t="s">
        <v>272</v>
      </c>
      <c r="B91" s="11" t="s">
        <v>160</v>
      </c>
      <c r="C91" s="8" t="str">
        <f t="shared" si="4"/>
        <v>Exclusion by Socio-Economic Group</v>
      </c>
      <c r="D91" s="8" t="str">
        <f t="shared" si="5"/>
        <v>12 month lag of exclusion by socio-economic group</v>
      </c>
      <c r="E91" s="10" t="s">
        <v>272</v>
      </c>
      <c r="F91" s="9" t="s">
        <v>273</v>
      </c>
      <c r="G91" s="5" t="s">
        <v>386</v>
      </c>
      <c r="H91" s="5" t="s">
        <v>163</v>
      </c>
      <c r="I91" s="6" t="s">
        <v>164</v>
      </c>
      <c r="J91" s="6" t="s">
        <v>165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47.25" customHeight="1" x14ac:dyDescent="0.15">
      <c r="A92" s="13" t="s">
        <v>274</v>
      </c>
      <c r="B92" s="11" t="s">
        <v>160</v>
      </c>
      <c r="C92" s="8" t="str">
        <f t="shared" si="4"/>
        <v>Exclusion by Gender index</v>
      </c>
      <c r="D92" s="8" t="str">
        <f t="shared" si="5"/>
        <v>12 month lag of exclusion by gender index</v>
      </c>
      <c r="E92" s="10" t="s">
        <v>274</v>
      </c>
      <c r="F92" s="9" t="s">
        <v>275</v>
      </c>
      <c r="G92" s="5" t="s">
        <v>386</v>
      </c>
      <c r="H92" s="5" t="s">
        <v>163</v>
      </c>
      <c r="I92" s="6" t="s">
        <v>164</v>
      </c>
      <c r="J92" s="6" t="s">
        <v>165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47.25" customHeight="1" x14ac:dyDescent="0.15">
      <c r="A93" s="13" t="s">
        <v>276</v>
      </c>
      <c r="B93" s="11" t="s">
        <v>160</v>
      </c>
      <c r="C93" s="8" t="str">
        <f t="shared" si="4"/>
        <v>Exclusion by Urban-Rural Location index</v>
      </c>
      <c r="D93" s="8" t="str">
        <f t="shared" si="5"/>
        <v>12 month lag of exclusion by urban-rural location index</v>
      </c>
      <c r="E93" s="10" t="s">
        <v>276</v>
      </c>
      <c r="F93" s="9" t="s">
        <v>277</v>
      </c>
      <c r="G93" s="5" t="s">
        <v>386</v>
      </c>
      <c r="H93" s="5" t="s">
        <v>163</v>
      </c>
      <c r="I93" s="6" t="s">
        <v>164</v>
      </c>
      <c r="J93" s="6" t="s">
        <v>165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47.25" customHeight="1" x14ac:dyDescent="0.15">
      <c r="A94" s="13" t="s">
        <v>278</v>
      </c>
      <c r="B94" s="11" t="s">
        <v>160</v>
      </c>
      <c r="C94" s="8" t="str">
        <f t="shared" si="4"/>
        <v xml:space="preserve"> Exclusion by Political Group index </v>
      </c>
      <c r="D94" s="8" t="str">
        <f t="shared" si="5"/>
        <v xml:space="preserve">12 month lag of  exclusion by political group index </v>
      </c>
      <c r="E94" s="10" t="s">
        <v>278</v>
      </c>
      <c r="F94" s="9" t="s">
        <v>279</v>
      </c>
      <c r="G94" s="5" t="s">
        <v>386</v>
      </c>
      <c r="H94" s="5" t="s">
        <v>163</v>
      </c>
      <c r="I94" s="6" t="s">
        <v>164</v>
      </c>
      <c r="J94" s="6" t="s">
        <v>165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47.25" customHeight="1" x14ac:dyDescent="0.15">
      <c r="A95" s="13" t="s">
        <v>280</v>
      </c>
      <c r="B95" s="11" t="s">
        <v>168</v>
      </c>
      <c r="C95" s="8" t="s">
        <v>281</v>
      </c>
      <c r="D95" s="8" t="s">
        <v>282</v>
      </c>
      <c r="E95" s="10" t="s">
        <v>283</v>
      </c>
      <c r="F95" s="9" t="s">
        <v>284</v>
      </c>
      <c r="G95" s="5" t="s">
        <v>386</v>
      </c>
      <c r="H95" s="5" t="s">
        <v>163</v>
      </c>
      <c r="I95" s="6" t="s">
        <v>164</v>
      </c>
      <c r="J95" s="6" t="s">
        <v>165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47.25" customHeight="1" x14ac:dyDescent="0.15">
      <c r="A96" s="13" t="s">
        <v>283</v>
      </c>
      <c r="B96" s="11" t="s">
        <v>160</v>
      </c>
      <c r="C96" s="8" t="str">
        <f>F96</f>
        <v>Exclusion by Social Group index</v>
      </c>
      <c r="D96" s="8" t="str">
        <f>_xlfn.CONCAT("12 month lag of ", LOWER(F96))</f>
        <v>12 month lag of exclusion by social group index</v>
      </c>
      <c r="E96" s="10" t="s">
        <v>283</v>
      </c>
      <c r="F96" s="9" t="s">
        <v>284</v>
      </c>
      <c r="G96" s="5" t="s">
        <v>386</v>
      </c>
      <c r="H96" s="5" t="s">
        <v>163</v>
      </c>
      <c r="I96" s="6" t="s">
        <v>164</v>
      </c>
      <c r="J96" s="6" t="s">
        <v>165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47.25" customHeight="1" x14ac:dyDescent="0.15">
      <c r="A97" s="13" t="s">
        <v>285</v>
      </c>
      <c r="B97" s="11" t="s">
        <v>160</v>
      </c>
      <c r="C97" s="8" t="str">
        <f>F97</f>
        <v>Party institutionalization index</v>
      </c>
      <c r="D97" s="8" t="str">
        <f>_xlfn.CONCAT("12 month lag of ", LOWER(F97))</f>
        <v>12 month lag of party institutionalization index</v>
      </c>
      <c r="E97" s="10" t="s">
        <v>285</v>
      </c>
      <c r="F97" s="9" t="s">
        <v>286</v>
      </c>
      <c r="G97" s="5" t="s">
        <v>386</v>
      </c>
      <c r="H97" s="5" t="s">
        <v>163</v>
      </c>
      <c r="I97" s="6" t="s">
        <v>164</v>
      </c>
      <c r="J97" s="6" t="s">
        <v>165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47.25" customHeight="1" x14ac:dyDescent="0.15">
      <c r="A98" s="13" t="s">
        <v>287</v>
      </c>
      <c r="B98" s="11" t="s">
        <v>168</v>
      </c>
      <c r="C98" s="8" t="s">
        <v>288</v>
      </c>
      <c r="D98" s="8" t="s">
        <v>289</v>
      </c>
      <c r="E98" s="10" t="s">
        <v>290</v>
      </c>
      <c r="F98" s="9" t="s">
        <v>291</v>
      </c>
      <c r="G98" s="5" t="s">
        <v>387</v>
      </c>
      <c r="H98" s="5" t="s">
        <v>292</v>
      </c>
      <c r="I98" s="7" t="str">
        <f ca="1">IFERROR(__xludf.DUMMYFUNCTION("concat(""https://databank.worldbank.org/metadataglossary/world-development-indicators/series/"", SUBSTITUTE(REGEXEXTRACT(E99,""_(.+)""), ""_"", "".""))"),"https://databank.worldbank.org/metadataglossary/world-development-indicators/series/ag.lnd.frst.k2")</f>
        <v>https://databank.worldbank.org/metadataglossary/world-development-indicators/series/ag.lnd.frst.k2</v>
      </c>
      <c r="J98" s="6" t="s">
        <v>293</v>
      </c>
      <c r="K98" s="1"/>
      <c r="L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47.25" customHeight="1" x14ac:dyDescent="0.15">
      <c r="A99" s="13" t="s">
        <v>290</v>
      </c>
      <c r="B99" s="11" t="s">
        <v>160</v>
      </c>
      <c r="C99" s="8" t="s">
        <v>294</v>
      </c>
      <c r="D99" s="8" t="str">
        <f t="shared" ref="D99:D112" si="6">_xlfn.CONCAT("12 month lag of ", LOWER(F99))</f>
        <v>12 month lag of forest area (sq. km)</v>
      </c>
      <c r="E99" s="10" t="s">
        <v>290</v>
      </c>
      <c r="F99" s="9" t="s">
        <v>291</v>
      </c>
      <c r="G99" s="5" t="s">
        <v>387</v>
      </c>
      <c r="H99" s="5" t="s">
        <v>292</v>
      </c>
      <c r="I99" s="7" t="str">
        <f ca="1">IFERROR(__xludf.DUMMYFUNCTION("concat(""https://databank.worldbank.org/metadataglossary/world-development-indicators/series/"", SUBSTITUTE(REGEXEXTRACT(E100,""_(.+)""), ""_"", "".""))"),"https://databank.worldbank.org/metadataglossary/world-development-indicators/series/ag.lnd.frst.k2")</f>
        <v>https://databank.worldbank.org/metadataglossary/world-development-indicators/series/ag.lnd.frst.k2</v>
      </c>
      <c r="J99" s="6" t="s">
        <v>293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47.25" customHeight="1" x14ac:dyDescent="0.15">
      <c r="A100" s="13" t="s">
        <v>295</v>
      </c>
      <c r="B100" s="11" t="s">
        <v>160</v>
      </c>
      <c r="C100" s="8" t="s">
        <v>296</v>
      </c>
      <c r="D100" s="8" t="str">
        <f t="shared" si="6"/>
        <v>12 month lag of net oda received per capita (current us$)</v>
      </c>
      <c r="E100" s="10" t="s">
        <v>295</v>
      </c>
      <c r="F100" s="9" t="s">
        <v>297</v>
      </c>
      <c r="G100" s="5" t="s">
        <v>387</v>
      </c>
      <c r="H100" s="5" t="s">
        <v>292</v>
      </c>
      <c r="I100" s="7" t="str">
        <f ca="1">IFERROR(__xludf.DUMMYFUNCTION("concat(""https://databank.worldbank.org/metadataglossary/world-development-indicators/series/"", SUBSTITUTE(REGEXEXTRACT(E101,""_(.+)""), ""_"", "".""))"),"https://databank.worldbank.org/metadataglossary/world-development-indicators/series/dt.oda.odat.pc.zs")</f>
        <v>https://databank.worldbank.org/metadataglossary/world-development-indicators/series/dt.oda.odat.pc.zs</v>
      </c>
      <c r="J100" s="6" t="s">
        <v>293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47.25" customHeight="1" x14ac:dyDescent="0.15">
      <c r="A101" s="13" t="s">
        <v>298</v>
      </c>
      <c r="B101" s="11" t="s">
        <v>160</v>
      </c>
      <c r="C101" s="8" t="s">
        <v>299</v>
      </c>
      <c r="D101" s="8" t="str">
        <f t="shared" si="6"/>
        <v>12 month lag of military expenditure by country as percentage of gross domestic product</v>
      </c>
      <c r="E101" s="10" t="s">
        <v>298</v>
      </c>
      <c r="F101" s="9" t="s">
        <v>300</v>
      </c>
      <c r="G101" s="5" t="s">
        <v>387</v>
      </c>
      <c r="H101" s="5" t="s">
        <v>292</v>
      </c>
      <c r="I101" s="7" t="str">
        <f ca="1">IFERROR(__xludf.DUMMYFUNCTION("concat(""https://databank.worldbank.org/metadataglossary/world-development-indicators/series/"", SUBSTITUTE(REGEXEXTRACT(E102,""_(.+)""), ""_"", "".""))"),"https://databank.worldbank.org/metadataglossary/world-development-indicators/series/ms.mil.xpnd.gd.zs")</f>
        <v>https://databank.worldbank.org/metadataglossary/world-development-indicators/series/ms.mil.xpnd.gd.zs</v>
      </c>
      <c r="J101" s="6" t="s">
        <v>293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47.25" customHeight="1" x14ac:dyDescent="0.15">
      <c r="A102" s="13" t="s">
        <v>301</v>
      </c>
      <c r="B102" s="11" t="s">
        <v>160</v>
      </c>
      <c r="C102" s="8" t="s">
        <v>302</v>
      </c>
      <c r="D102" s="8" t="str">
        <f t="shared" si="6"/>
        <v>12 month lag of military expenditure expressed as a percentage of general government expenditure</v>
      </c>
      <c r="E102" s="10" t="s">
        <v>301</v>
      </c>
      <c r="F102" s="9" t="s">
        <v>303</v>
      </c>
      <c r="G102" s="5" t="s">
        <v>387</v>
      </c>
      <c r="H102" s="5" t="s">
        <v>292</v>
      </c>
      <c r="I102" s="7" t="str">
        <f ca="1">IFERROR(__xludf.DUMMYFUNCTION("concat(""https://databank.worldbank.org/metadataglossary/world-development-indicators/series/"", SUBSTITUTE(REGEXEXTRACT(E103,""_(.+)""), ""_"", "".""))"),"https://databank.worldbank.org/metadataglossary/world-development-indicators/series/ms.mil.xpnd.zs")</f>
        <v>https://databank.worldbank.org/metadataglossary/world-development-indicators/series/ms.mil.xpnd.zs</v>
      </c>
      <c r="J102" s="6" t="s">
        <v>293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47.25" customHeight="1" x14ac:dyDescent="0.15">
      <c r="A103" s="13" t="s">
        <v>304</v>
      </c>
      <c r="B103" s="11" t="s">
        <v>160</v>
      </c>
      <c r="C103" s="8" t="s">
        <v>305</v>
      </c>
      <c r="D103" s="8" t="str">
        <f t="shared" si="6"/>
        <v>12 month lag of agriculture, forestry, and fishing, value added (constant 2015 us$)</v>
      </c>
      <c r="E103" s="10" t="s">
        <v>304</v>
      </c>
      <c r="F103" s="9" t="s">
        <v>306</v>
      </c>
      <c r="G103" s="5" t="s">
        <v>387</v>
      </c>
      <c r="H103" s="5" t="s">
        <v>292</v>
      </c>
      <c r="I103" s="7" t="str">
        <f ca="1">IFERROR(__xludf.DUMMYFUNCTION("concat(""https://databank.worldbank.org/metadataglossary/world-development-indicators/series/"", SUBSTITUTE(REGEXEXTRACT(E104,""_(.+)""), ""_"", "".""))"),"https://databank.worldbank.org/metadataglossary/world-development-indicators/series/nv.agr.totl.kd")</f>
        <v>https://databank.worldbank.org/metadataglossary/world-development-indicators/series/nv.agr.totl.kd</v>
      </c>
      <c r="J103" s="6" t="s">
        <v>293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47.25" customHeight="1" x14ac:dyDescent="0.15">
      <c r="A104" s="13" t="s">
        <v>307</v>
      </c>
      <c r="B104" s="11" t="s">
        <v>160</v>
      </c>
      <c r="C104" s="8" t="s">
        <v>308</v>
      </c>
      <c r="D104" s="8" t="str">
        <f t="shared" si="6"/>
        <v>12 month lag of agriculture, forestry, and fishing, value added (constant lcu)</v>
      </c>
      <c r="E104" s="10" t="s">
        <v>307</v>
      </c>
      <c r="F104" s="9" t="s">
        <v>309</v>
      </c>
      <c r="G104" s="5" t="s">
        <v>387</v>
      </c>
      <c r="H104" s="5" t="s">
        <v>292</v>
      </c>
      <c r="I104" s="7" t="str">
        <f ca="1">IFERROR(__xludf.DUMMYFUNCTION("concat(""https://databank.worldbank.org/metadataglossary/world-development-indicators/series/"", SUBSTITUTE(REGEXEXTRACT(E105,""_(.+)""), ""_"", "".""))"),"https://databank.worldbank.org/metadataglossary/world-development-indicators/series/nv.agr.totl.kn")</f>
        <v>https://databank.worldbank.org/metadataglossary/world-development-indicators/series/nv.agr.totl.kn</v>
      </c>
      <c r="J104" s="6" t="s">
        <v>293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47.25" customHeight="1" x14ac:dyDescent="0.15">
      <c r="A105" s="13" t="s">
        <v>310</v>
      </c>
      <c r="B105" s="11" t="s">
        <v>160</v>
      </c>
      <c r="C105" s="8" t="s">
        <v>311</v>
      </c>
      <c r="D105" s="8" t="str">
        <f t="shared" si="6"/>
        <v>12 month lag of gdp (constant 2015 us$)</v>
      </c>
      <c r="E105" s="10" t="s">
        <v>310</v>
      </c>
      <c r="F105" s="9" t="s">
        <v>312</v>
      </c>
      <c r="G105" s="5" t="s">
        <v>387</v>
      </c>
      <c r="H105" s="5" t="s">
        <v>292</v>
      </c>
      <c r="I105" s="7" t="str">
        <f ca="1">IFERROR(__xludf.DUMMYFUNCTION("concat(""https://databank.worldbank.org/metadataglossary/world-development-indicators/series/"", SUBSTITUTE(REGEXEXTRACT(E106,""_(.+)""), ""_"", "".""))"),"https://databank.worldbank.org/metadataglossary/world-development-indicators/series/ny.gdp.mktp.kd")</f>
        <v>https://databank.worldbank.org/metadataglossary/world-development-indicators/series/ny.gdp.mktp.kd</v>
      </c>
      <c r="J105" s="6" t="s">
        <v>293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47.25" customHeight="1" x14ac:dyDescent="0.15">
      <c r="A106" s="13" t="s">
        <v>313</v>
      </c>
      <c r="B106" s="11" t="s">
        <v>160</v>
      </c>
      <c r="C106" s="8" t="s">
        <v>314</v>
      </c>
      <c r="D106" s="8" t="str">
        <f t="shared" si="6"/>
        <v>12 month lag of gdp per capita (constant 2015 us$)</v>
      </c>
      <c r="E106" s="10" t="s">
        <v>313</v>
      </c>
      <c r="F106" s="9" t="s">
        <v>315</v>
      </c>
      <c r="G106" s="5" t="s">
        <v>387</v>
      </c>
      <c r="H106" s="5" t="s">
        <v>292</v>
      </c>
      <c r="I106" s="7" t="str">
        <f ca="1">IFERROR(__xludf.DUMMYFUNCTION("concat(""https://databank.worldbank.org/metadataglossary/world-development-indicators/series/"", SUBSTITUTE(REGEXEXTRACT(E107,""_(.+)""), ""_"", "".""))"),"https://databank.worldbank.org/metadataglossary/world-development-indicators/series/ny.gdp.pcap.kd")</f>
        <v>https://databank.worldbank.org/metadataglossary/world-development-indicators/series/ny.gdp.pcap.kd</v>
      </c>
      <c r="J106" s="6" t="s">
        <v>293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47.25" customHeight="1" x14ac:dyDescent="0.15">
      <c r="A107" s="13" t="s">
        <v>316</v>
      </c>
      <c r="B107" s="11" t="s">
        <v>160</v>
      </c>
      <c r="C107" s="8" t="s">
        <v>317</v>
      </c>
      <c r="D107" s="8" t="str">
        <f t="shared" si="6"/>
        <v>12 month lag of school enrollment, primary (gross), gender parity index (gpi)</v>
      </c>
      <c r="E107" s="10" t="s">
        <v>316</v>
      </c>
      <c r="F107" s="9" t="s">
        <v>318</v>
      </c>
      <c r="G107" s="5" t="s">
        <v>387</v>
      </c>
      <c r="H107" s="5" t="s">
        <v>292</v>
      </c>
      <c r="I107" s="7" t="str">
        <f ca="1">IFERROR(__xludf.DUMMYFUNCTION("concat(""https://databank.worldbank.org/metadataglossary/world-development-indicators/series/"", SUBSTITUTE(REGEXEXTRACT(E108,""_(.+)""), ""_"", "".""))"),"https://databank.worldbank.org/metadataglossary/world-development-indicators/series/se.enr.prim.fm.zs")</f>
        <v>https://databank.worldbank.org/metadataglossary/world-development-indicators/series/se.enr.prim.fm.zs</v>
      </c>
      <c r="J107" s="6" t="s">
        <v>293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47.25" customHeight="1" x14ac:dyDescent="0.15">
      <c r="A108" s="13" t="s">
        <v>319</v>
      </c>
      <c r="B108" s="11" t="s">
        <v>160</v>
      </c>
      <c r="C108" s="8" t="s">
        <v>320</v>
      </c>
      <c r="D108" s="8" t="str">
        <f t="shared" si="6"/>
        <v>12 month lag of school enrollment, primary and secondary (gross), gender parity index (gpi)</v>
      </c>
      <c r="E108" s="10" t="s">
        <v>319</v>
      </c>
      <c r="F108" s="9" t="s">
        <v>321</v>
      </c>
      <c r="G108" s="5" t="s">
        <v>387</v>
      </c>
      <c r="H108" s="5" t="s">
        <v>292</v>
      </c>
      <c r="I108" s="7" t="str">
        <f ca="1">IFERROR(__xludf.DUMMYFUNCTION("concat(""https://databank.worldbank.org/metadataglossary/world-development-indicators/series/"", SUBSTITUTE(REGEXEXTRACT(E109,""_(.+)""), ""_"", "".""))"),"https://databank.worldbank.org/metadataglossary/world-development-indicators/series/se.enr.prsc.fm.zs")</f>
        <v>https://databank.worldbank.org/metadataglossary/world-development-indicators/series/se.enr.prsc.fm.zs</v>
      </c>
      <c r="J108" s="6" t="s">
        <v>293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47.25" customHeight="1" x14ac:dyDescent="0.15">
      <c r="A109" s="13" t="s">
        <v>322</v>
      </c>
      <c r="B109" s="11" t="s">
        <v>160</v>
      </c>
      <c r="C109" s="8" t="s">
        <v>323</v>
      </c>
      <c r="D109" s="8" t="str">
        <f t="shared" si="6"/>
        <v>12 month lag of school enrollment, primary (% net)</v>
      </c>
      <c r="E109" s="10" t="s">
        <v>322</v>
      </c>
      <c r="F109" s="9" t="s">
        <v>324</v>
      </c>
      <c r="G109" s="5" t="s">
        <v>387</v>
      </c>
      <c r="H109" s="5" t="s">
        <v>292</v>
      </c>
      <c r="I109" s="7" t="str">
        <f ca="1">IFERROR(__xludf.DUMMYFUNCTION("concat(""https://databank.worldbank.org/metadataglossary/world-development-indicators/series/"", SUBSTITUTE(REGEXEXTRACT(E110,""_(.+)""), ""_"", "".""))"),"https://databank.worldbank.org/metadataglossary/world-development-indicators/series/se.prm.nenr")</f>
        <v>https://databank.worldbank.org/metadataglossary/world-development-indicators/series/se.prm.nenr</v>
      </c>
      <c r="J109" s="6" t="s">
        <v>293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47.25" customHeight="1" x14ac:dyDescent="0.15">
      <c r="A110" s="13" t="s">
        <v>325</v>
      </c>
      <c r="B110" s="11" t="s">
        <v>160</v>
      </c>
      <c r="C110" s="8" t="s">
        <v>326</v>
      </c>
      <c r="D110" s="8" t="str">
        <f t="shared" si="6"/>
        <v>12 month lag of mortality rate, under-5, female (per 1,000 live births)</v>
      </c>
      <c r="E110" s="10" t="s">
        <v>325</v>
      </c>
      <c r="F110" s="9" t="s">
        <v>327</v>
      </c>
      <c r="G110" s="5" t="s">
        <v>387</v>
      </c>
      <c r="H110" s="5" t="s">
        <v>292</v>
      </c>
      <c r="I110" s="7" t="str">
        <f ca="1">IFERROR(__xludf.DUMMYFUNCTION("concat(""https://databank.worldbank.org/metadataglossary/world-development-indicators/series/"", SUBSTITUTE(REGEXEXTRACT(E111,""_(.+)""), ""_"", "".""))"),"https://databank.worldbank.org/metadataglossary/world-development-indicators/series/sh.dyn.mort.fe")</f>
        <v>https://databank.worldbank.org/metadataglossary/world-development-indicators/series/sh.dyn.mort.fe</v>
      </c>
      <c r="J110" s="6" t="s">
        <v>293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47.25" customHeight="1" x14ac:dyDescent="0.15">
      <c r="A111" s="13" t="s">
        <v>328</v>
      </c>
      <c r="B111" s="11" t="s">
        <v>160</v>
      </c>
      <c r="C111" s="8" t="s">
        <v>329</v>
      </c>
      <c r="D111" s="8" t="str">
        <f t="shared" si="6"/>
        <v>12 month lag of prevalence of underweight, weight for age (% of children under 5)</v>
      </c>
      <c r="E111" s="10" t="s">
        <v>328</v>
      </c>
      <c r="F111" s="9" t="s">
        <v>330</v>
      </c>
      <c r="G111" s="5" t="s">
        <v>387</v>
      </c>
      <c r="H111" s="5" t="s">
        <v>292</v>
      </c>
      <c r="I111" s="7" t="str">
        <f ca="1">IFERROR(__xludf.DUMMYFUNCTION("concat(""https://databank.worldbank.org/metadataglossary/world-development-indicators/series/"", SUBSTITUTE(REGEXEXTRACT(E112,""_(.+)""), ""_"", "".""))"),"https://databank.worldbank.org/metadataglossary/world-development-indicators/series/sh.sta.maln.zs")</f>
        <v>https://databank.worldbank.org/metadataglossary/world-development-indicators/series/sh.sta.maln.zs</v>
      </c>
      <c r="J111" s="6" t="s">
        <v>293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47.25" customHeight="1" x14ac:dyDescent="0.15">
      <c r="A112" s="13" t="s">
        <v>331</v>
      </c>
      <c r="B112" s="11" t="s">
        <v>160</v>
      </c>
      <c r="C112" s="8" t="s">
        <v>332</v>
      </c>
      <c r="D112" s="8" t="str">
        <f t="shared" si="6"/>
        <v>12 month lag of prevalence of stunting, height for age (% of children under 5)</v>
      </c>
      <c r="E112" s="10" t="s">
        <v>331</v>
      </c>
      <c r="F112" s="9" t="s">
        <v>333</v>
      </c>
      <c r="G112" s="5" t="s">
        <v>387</v>
      </c>
      <c r="H112" s="5" t="s">
        <v>292</v>
      </c>
      <c r="I112" s="7" t="str">
        <f ca="1">IFERROR(__xludf.DUMMYFUNCTION("concat(""https://databank.worldbank.org/metadataglossary/world-development-indicators/series/"", SUBSTITUTE(REGEXEXTRACT(E113,""_(.+)""), ""_"", "".""))"),"https://databank.worldbank.org/metadataglossary/world-development-indicators/series/sh.sta.stnt.zs")</f>
        <v>https://databank.worldbank.org/metadataglossary/world-development-indicators/series/sh.sta.stnt.zs</v>
      </c>
      <c r="J112" s="6" t="s">
        <v>293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47.25" customHeight="1" x14ac:dyDescent="0.15">
      <c r="A113" s="13" t="s">
        <v>334</v>
      </c>
      <c r="B113" s="11" t="s">
        <v>168</v>
      </c>
      <c r="C113" s="8" t="s">
        <v>335</v>
      </c>
      <c r="D113" s="8" t="s">
        <v>336</v>
      </c>
      <c r="E113" s="10" t="s">
        <v>337</v>
      </c>
      <c r="F113" s="9" t="s">
        <v>338</v>
      </c>
      <c r="G113" s="5" t="s">
        <v>387</v>
      </c>
      <c r="H113" s="5" t="s">
        <v>292</v>
      </c>
      <c r="I113" s="7" t="str">
        <f ca="1">IFERROR(__xludf.DUMMYFUNCTION("concat(""https://databank.worldbank.org/metadataglossary/world-development-indicators/series/"", SUBSTITUTE(REGEXEXTRACT(E114,""_(.+)""), ""_"", "".""))"),"https://databank.worldbank.org/metadataglossary/world-development-indicators/series/sl.tlf.totl.fe.zs")</f>
        <v>https://databank.worldbank.org/metadataglossary/world-development-indicators/series/sl.tlf.totl.fe.zs</v>
      </c>
      <c r="J113" s="6" t="s">
        <v>293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47.25" customHeight="1" x14ac:dyDescent="0.15">
      <c r="A114" s="13" t="s">
        <v>337</v>
      </c>
      <c r="B114" s="11" t="s">
        <v>160</v>
      </c>
      <c r="C114" s="8" t="s">
        <v>339</v>
      </c>
      <c r="D114" s="8" t="str">
        <f>_xlfn.CONCAT("12 month lag of ", LOWER(F114))</f>
        <v>12 month lag of labor force, female (% of total labor force)</v>
      </c>
      <c r="E114" s="10" t="s">
        <v>337</v>
      </c>
      <c r="F114" s="9" t="s">
        <v>338</v>
      </c>
      <c r="G114" s="5" t="s">
        <v>387</v>
      </c>
      <c r="H114" s="5" t="s">
        <v>292</v>
      </c>
      <c r="I114" s="7" t="str">
        <f ca="1">IFERROR(__xludf.DUMMYFUNCTION("concat(""https://databank.worldbank.org/metadataglossary/world-development-indicators/series/"", SUBSTITUTE(REGEXEXTRACT(E115,""_(.+)""), ""_"", "".""))"),"https://databank.worldbank.org/metadataglossary/world-development-indicators/series/sl.tlf.totl.fe.zs")</f>
        <v>https://databank.worldbank.org/metadataglossary/world-development-indicators/series/sl.tlf.totl.fe.zs</v>
      </c>
      <c r="J114" s="6" t="s">
        <v>293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47.25" customHeight="1" x14ac:dyDescent="0.15">
      <c r="A115" s="13" t="s">
        <v>340</v>
      </c>
      <c r="B115" s="11" t="s">
        <v>168</v>
      </c>
      <c r="C115" s="8" t="s">
        <v>341</v>
      </c>
      <c r="D115" s="8" t="s">
        <v>342</v>
      </c>
      <c r="E115" s="10" t="s">
        <v>343</v>
      </c>
      <c r="F115" s="9" t="s">
        <v>344</v>
      </c>
      <c r="G115" s="5" t="s">
        <v>387</v>
      </c>
      <c r="H115" s="5" t="s">
        <v>292</v>
      </c>
      <c r="I115" s="7" t="str">
        <f ca="1">IFERROR(__xludf.DUMMYFUNCTION("concat(""https://databank.worldbank.org/metadataglossary/world-development-indicators/series/"", SUBSTITUTE(REGEXEXTRACT(E116,""_(.+)""), ""_"", "".""))"),"https://databank.worldbank.org/metadataglossary/world-development-indicators/series/sm.pop.netm")</f>
        <v>https://databank.worldbank.org/metadataglossary/world-development-indicators/series/sm.pop.netm</v>
      </c>
      <c r="J115" s="6" t="s">
        <v>293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47.25" customHeight="1" x14ac:dyDescent="0.15">
      <c r="A116" s="13" t="s">
        <v>343</v>
      </c>
      <c r="B116" s="11" t="s">
        <v>160</v>
      </c>
      <c r="C116" s="8" t="str">
        <f>F116</f>
        <v>Net migration</v>
      </c>
      <c r="D116" s="8" t="str">
        <f>_xlfn.CONCAT("12 month lag of ", LOWER(F116))</f>
        <v>12 month lag of net migration</v>
      </c>
      <c r="E116" s="10" t="s">
        <v>343</v>
      </c>
      <c r="F116" s="9" t="s">
        <v>344</v>
      </c>
      <c r="G116" s="5" t="s">
        <v>387</v>
      </c>
      <c r="H116" s="5" t="s">
        <v>292</v>
      </c>
      <c r="I116" s="7" t="str">
        <f ca="1">IFERROR(__xludf.DUMMYFUNCTION("concat(""https://databank.worldbank.org/metadataglossary/world-development-indicators/series/"", SUBSTITUTE(REGEXEXTRACT(E117,""_(.+)""), ""_"", "".""))"),"https://databank.worldbank.org/metadataglossary/world-development-indicators/series/sm.pop.netm")</f>
        <v>https://databank.worldbank.org/metadataglossary/world-development-indicators/series/sm.pop.netm</v>
      </c>
      <c r="J116" s="6" t="s">
        <v>293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47.25" customHeight="1" x14ac:dyDescent="0.15">
      <c r="A117" s="13" t="s">
        <v>345</v>
      </c>
      <c r="B117" s="11" t="s">
        <v>168</v>
      </c>
      <c r="C117" s="8" t="s">
        <v>346</v>
      </c>
      <c r="D117" s="8" t="s">
        <v>347</v>
      </c>
      <c r="E117" s="10" t="s">
        <v>348</v>
      </c>
      <c r="F117" s="9" t="s">
        <v>349</v>
      </c>
      <c r="G117" s="5" t="s">
        <v>387</v>
      </c>
      <c r="H117" s="5" t="s">
        <v>292</v>
      </c>
      <c r="I117" s="7" t="str">
        <f ca="1">IFERROR(__xludf.DUMMYFUNCTION("concat(""https://databank.worldbank.org/metadataglossary/world-development-indicators/series/"", SUBSTITUTE(REGEXEXTRACT(E118,""_(.+)""), ""_"", "".""))"),"https://databank.worldbank.org/metadataglossary/world-development-indicators/series/sm.pop.refg.or")</f>
        <v>https://databank.worldbank.org/metadataglossary/world-development-indicators/series/sm.pop.refg.or</v>
      </c>
      <c r="J117" s="6" t="s">
        <v>293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47.25" customHeight="1" x14ac:dyDescent="0.15">
      <c r="A118" s="13" t="s">
        <v>348</v>
      </c>
      <c r="B118" s="11" t="s">
        <v>160</v>
      </c>
      <c r="C118" s="8" t="s">
        <v>350</v>
      </c>
      <c r="D118" s="8" t="str">
        <f t="shared" ref="D118:D128" si="7">_xlfn.CONCAT("12 month lag of ", LOWER(F118))</f>
        <v>12 month lag of refugee population by country or territory of origin</v>
      </c>
      <c r="E118" s="10" t="s">
        <v>348</v>
      </c>
      <c r="F118" s="9" t="s">
        <v>349</v>
      </c>
      <c r="G118" s="5" t="s">
        <v>387</v>
      </c>
      <c r="H118" s="5" t="s">
        <v>292</v>
      </c>
      <c r="I118" s="7" t="str">
        <f ca="1">IFERROR(__xludf.DUMMYFUNCTION("concat(""https://databank.worldbank.org/metadataglossary/world-development-indicators/series/"", SUBSTITUTE(REGEXEXTRACT(E119,""_(.+)""), ""_"", "".""))"),"https://databank.worldbank.org/metadataglossary/world-development-indicators/series/sm.pop.refg.or")</f>
        <v>https://databank.worldbank.org/metadataglossary/world-development-indicators/series/sm.pop.refg.or</v>
      </c>
      <c r="J118" s="6" t="s">
        <v>293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47.25" customHeight="1" x14ac:dyDescent="0.15">
      <c r="A119" s="13" t="s">
        <v>351</v>
      </c>
      <c r="B119" s="11" t="s">
        <v>160</v>
      </c>
      <c r="C119" s="8" t="s">
        <v>352</v>
      </c>
      <c r="D119" s="8" t="str">
        <f t="shared" si="7"/>
        <v>12 month lag of international migrant stock (% of population)</v>
      </c>
      <c r="E119" s="10" t="s">
        <v>351</v>
      </c>
      <c r="F119" s="9" t="s">
        <v>353</v>
      </c>
      <c r="G119" s="5" t="s">
        <v>387</v>
      </c>
      <c r="H119" s="5" t="s">
        <v>292</v>
      </c>
      <c r="I119" s="7" t="str">
        <f ca="1">IFERROR(__xludf.DUMMYFUNCTION("concat(""https://databank.worldbank.org/metadataglossary/world-development-indicators/series/"", SUBSTITUTE(REGEXEXTRACT(E120,""_(.+)""), ""_"", "".""))"),"https://databank.worldbank.org/metadataglossary/world-development-indicators/series/sm.pop.totl.zs")</f>
        <v>https://databank.worldbank.org/metadataglossary/world-development-indicators/series/sm.pop.totl.zs</v>
      </c>
      <c r="J119" s="6" t="s">
        <v>293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47.25" customHeight="1" x14ac:dyDescent="0.15">
      <c r="A120" s="13" t="s">
        <v>354</v>
      </c>
      <c r="B120" s="11" t="s">
        <v>160</v>
      </c>
      <c r="C120" s="8" t="s">
        <v>355</v>
      </c>
      <c r="D120" s="8" t="str">
        <f t="shared" si="7"/>
        <v>12 month lag of mortality rate, infant, female (per 1,000 live births)</v>
      </c>
      <c r="E120" s="10" t="s">
        <v>354</v>
      </c>
      <c r="F120" s="9" t="s">
        <v>356</v>
      </c>
      <c r="G120" s="5" t="s">
        <v>387</v>
      </c>
      <c r="H120" s="5" t="s">
        <v>292</v>
      </c>
      <c r="I120" s="7" t="str">
        <f ca="1">IFERROR(__xludf.DUMMYFUNCTION("concat(""https://databank.worldbank.org/metadataglossary/world-development-indicators/series/"", SUBSTITUTE(REGEXEXTRACT(E121,""_(.+)""), ""_"", "".""))"),"https://databank.worldbank.org/metadataglossary/world-development-indicators/series/sp.dyn.imrt.fe.in")</f>
        <v>https://databank.worldbank.org/metadataglossary/world-development-indicators/series/sp.dyn.imrt.fe.in</v>
      </c>
      <c r="J120" s="6" t="s">
        <v>293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47.25" customHeight="1" x14ac:dyDescent="0.15">
      <c r="A121" s="13" t="s">
        <v>357</v>
      </c>
      <c r="B121" s="11" t="s">
        <v>160</v>
      </c>
      <c r="C121" s="8" t="s">
        <v>358</v>
      </c>
      <c r="D121" s="8" t="str">
        <f t="shared" si="7"/>
        <v>12 month lag of mortality rate, infant (per 1,000 live births)</v>
      </c>
      <c r="E121" s="10" t="s">
        <v>357</v>
      </c>
      <c r="F121" s="9" t="s">
        <v>359</v>
      </c>
      <c r="G121" s="5" t="s">
        <v>387</v>
      </c>
      <c r="H121" s="5" t="s">
        <v>292</v>
      </c>
      <c r="I121" s="7" t="str">
        <f ca="1">IFERROR(__xludf.DUMMYFUNCTION("concat(""https://databank.worldbank.org/metadataglossary/world-development-indicators/series/"", SUBSTITUTE(REGEXEXTRACT(E122,""_(.+)""), ""_"", "".""))"),"https://databank.worldbank.org/metadataglossary/world-development-indicators/series/sp.dyn.imrt.in")</f>
        <v>https://databank.worldbank.org/metadataglossary/world-development-indicators/series/sp.dyn.imrt.in</v>
      </c>
      <c r="J121" s="6" t="s">
        <v>293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47.25" customHeight="1" x14ac:dyDescent="0.15">
      <c r="A122" s="13" t="s">
        <v>360</v>
      </c>
      <c r="B122" s="11" t="s">
        <v>160</v>
      </c>
      <c r="C122" s="8" t="s">
        <v>361</v>
      </c>
      <c r="D122" s="8" t="str">
        <f t="shared" si="7"/>
        <v>12 month lag of life expectancy at birth, total (years)</v>
      </c>
      <c r="E122" s="10" t="s">
        <v>360</v>
      </c>
      <c r="F122" s="9" t="s">
        <v>362</v>
      </c>
      <c r="G122" s="5" t="s">
        <v>387</v>
      </c>
      <c r="H122" s="5" t="s">
        <v>292</v>
      </c>
      <c r="I122" s="7" t="str">
        <f ca="1">IFERROR(__xludf.DUMMYFUNCTION("concat(""https://databank.worldbank.org/metadataglossary/world-development-indicators/series/"", SUBSTITUTE(REGEXEXTRACT(E123,""_(.+)""), ""_"", "".""))"),"https://databank.worldbank.org/metadataglossary/world-development-indicators/series/sp.dyn.le00.in")</f>
        <v>https://databank.worldbank.org/metadataglossary/world-development-indicators/series/sp.dyn.le00.in</v>
      </c>
      <c r="J122" s="6" t="s">
        <v>293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47.25" customHeight="1" x14ac:dyDescent="0.15">
      <c r="A123" s="13" t="s">
        <v>363</v>
      </c>
      <c r="B123" s="11" t="s">
        <v>160</v>
      </c>
      <c r="C123" s="8" t="s">
        <v>364</v>
      </c>
      <c r="D123" s="8" t="str">
        <f t="shared" si="7"/>
        <v>12 month lag of population ages 0-14, female (% of female population)</v>
      </c>
      <c r="E123" s="10" t="s">
        <v>365</v>
      </c>
      <c r="F123" s="9" t="s">
        <v>366</v>
      </c>
      <c r="G123" s="5" t="s">
        <v>387</v>
      </c>
      <c r="H123" s="5" t="s">
        <v>292</v>
      </c>
      <c r="I123" s="7" t="str">
        <f ca="1">IFERROR(__xludf.DUMMYFUNCTION("concat(""https://databank.worldbank.org/metadataglossary/world-development-indicators/series/"", SUBSTITUTE(REGEXEXTRACT(E124,""_(.+)""), ""_"", "".""))"),"https://databank.worldbank.org/metadataglossary/world-development-indicators/series/sp.pop.0014.fe.zs")</f>
        <v>https://databank.worldbank.org/metadataglossary/world-development-indicators/series/sp.pop.0014.fe.zs</v>
      </c>
      <c r="J123" s="6" t="s">
        <v>293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47.25" customHeight="1" x14ac:dyDescent="0.15">
      <c r="A124" s="13" t="s">
        <v>367</v>
      </c>
      <c r="B124" s="11" t="s">
        <v>160</v>
      </c>
      <c r="C124" s="8" t="s">
        <v>368</v>
      </c>
      <c r="D124" s="8" t="str">
        <f t="shared" si="7"/>
        <v>12 month lag of population ages 15-64, female (% of female population)</v>
      </c>
      <c r="E124" s="10" t="s">
        <v>367</v>
      </c>
      <c r="F124" s="9" t="s">
        <v>369</v>
      </c>
      <c r="G124" s="5" t="s">
        <v>387</v>
      </c>
      <c r="H124" s="5" t="s">
        <v>292</v>
      </c>
      <c r="I124" s="7" t="str">
        <f ca="1">IFERROR(__xludf.DUMMYFUNCTION("concat(""https://databank.worldbank.org/metadataglossary/world-development-indicators/series/"", SUBSTITUTE(REGEXEXTRACT(E125,""_(.+)""), ""_"", "".""))"),"https://databank.worldbank.org/metadataglossary/world-development-indicators/series/sp.pop.1564.fe.zs")</f>
        <v>https://databank.worldbank.org/metadataglossary/world-development-indicators/series/sp.pop.1564.fe.zs</v>
      </c>
      <c r="J124" s="6" t="s">
        <v>293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47.25" customHeight="1" x14ac:dyDescent="0.15">
      <c r="A125" s="13" t="s">
        <v>370</v>
      </c>
      <c r="B125" s="11" t="s">
        <v>160</v>
      </c>
      <c r="C125" s="8" t="s">
        <v>371</v>
      </c>
      <c r="D125" s="8" t="str">
        <f t="shared" si="7"/>
        <v>12 month lag of population ages 65 and above, female (% of female population)</v>
      </c>
      <c r="E125" s="10" t="s">
        <v>370</v>
      </c>
      <c r="F125" s="9" t="s">
        <v>372</v>
      </c>
      <c r="G125" s="5" t="s">
        <v>387</v>
      </c>
      <c r="H125" s="5" t="s">
        <v>292</v>
      </c>
      <c r="I125" s="7" t="str">
        <f ca="1">IFERROR(__xludf.DUMMYFUNCTION("concat(""https://databank.worldbank.org/metadataglossary/world-development-indicators/series/"", SUBSTITUTE(REGEXEXTRACT(E126,""_(.+)""), ""_"", "".""))"),"https://databank.worldbank.org/metadataglossary/world-development-indicators/series/sp.pop.65up.fe.zs")</f>
        <v>https://databank.worldbank.org/metadataglossary/world-development-indicators/series/sp.pop.65up.fe.zs</v>
      </c>
      <c r="J125" s="6" t="s">
        <v>293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47.25" customHeight="1" x14ac:dyDescent="0.15">
      <c r="A126" s="13" t="s">
        <v>373</v>
      </c>
      <c r="B126" s="11" t="s">
        <v>160</v>
      </c>
      <c r="C126" s="8" t="s">
        <v>374</v>
      </c>
      <c r="D126" s="8" t="str">
        <f t="shared" si="7"/>
        <v>12 month lag of population growth (annual %)</v>
      </c>
      <c r="E126" s="10" t="s">
        <v>373</v>
      </c>
      <c r="F126" s="9" t="s">
        <v>375</v>
      </c>
      <c r="G126" s="5" t="s">
        <v>387</v>
      </c>
      <c r="H126" s="5" t="s">
        <v>292</v>
      </c>
      <c r="I126" s="7" t="str">
        <f ca="1">IFERROR(__xludf.DUMMYFUNCTION("concat(""https://databank.worldbank.org/metadataglossary/world-development-indicators/series/"", SUBSTITUTE(REGEXEXTRACT(E127,""_(.+)""), ""_"", "".""))"),"https://databank.worldbank.org/metadataglossary/world-development-indicators/series/sp.pop.grow")</f>
        <v>https://databank.worldbank.org/metadataglossary/world-development-indicators/series/sp.pop.grow</v>
      </c>
      <c r="J126" s="6" t="s">
        <v>293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47.25" customHeight="1" x14ac:dyDescent="0.15">
      <c r="A127" s="13" t="s">
        <v>376</v>
      </c>
      <c r="B127" s="11" t="s">
        <v>160</v>
      </c>
      <c r="C127" s="8" t="s">
        <v>377</v>
      </c>
      <c r="D127" s="8" t="str">
        <f t="shared" si="7"/>
        <v>12 month lag of population, total</v>
      </c>
      <c r="E127" s="10" t="s">
        <v>376</v>
      </c>
      <c r="F127" s="9" t="s">
        <v>378</v>
      </c>
      <c r="G127" s="5" t="s">
        <v>387</v>
      </c>
      <c r="H127" s="5" t="s">
        <v>292</v>
      </c>
      <c r="I127" s="7" t="str">
        <f ca="1">IFERROR(__xludf.DUMMYFUNCTION("concat(""https://databank.worldbank.org/metadataglossary/world-development-indicators/series/"", SUBSTITUTE(REGEXEXTRACT(E128,""_(.+)""), ""_"", "".""))"),"https://databank.worldbank.org/metadataglossary/world-development-indicators/series/sp.pop.totl")</f>
        <v>https://databank.worldbank.org/metadataglossary/world-development-indicators/series/sp.pop.totl</v>
      </c>
      <c r="J127" s="6" t="s">
        <v>293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47.25" customHeight="1" x14ac:dyDescent="0.15">
      <c r="A128" s="13" t="s">
        <v>379</v>
      </c>
      <c r="B128" s="11" t="s">
        <v>160</v>
      </c>
      <c r="C128" s="8" t="s">
        <v>380</v>
      </c>
      <c r="D128" s="8" t="str">
        <f t="shared" si="7"/>
        <v>12 month lag of urban population (% of total population)</v>
      </c>
      <c r="E128" s="10" t="s">
        <v>379</v>
      </c>
      <c r="F128" s="9" t="s">
        <v>381</v>
      </c>
      <c r="G128" s="5" t="s">
        <v>387</v>
      </c>
      <c r="H128" s="5" t="s">
        <v>292</v>
      </c>
      <c r="I128" s="7" t="str">
        <f ca="1">IFERROR(__xludf.DUMMYFUNCTION("concat(""https://databank.worldbank.org/metadataglossary/world-development-indicators/series/"", SUBSTITUTE(REGEXEXTRACT(E129,""_(.+)""), ""_"", "".""))"),"https://databank.worldbank.org/metadataglossary/world-development-indicators/series/sp.urb.totl.in.zs")</f>
        <v>https://databank.worldbank.org/metadataglossary/world-development-indicators/series/sp.urb.totl.in.zs</v>
      </c>
      <c r="J128" s="6" t="s">
        <v>293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47.25" customHeight="1" x14ac:dyDescent="0.15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47.25" customHeight="1" x14ac:dyDescent="0.15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47.25" customHeight="1" x14ac:dyDescent="0.15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47.25" customHeight="1" x14ac:dyDescent="0.15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47.25" customHeight="1" x14ac:dyDescent="0.15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47.2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47.2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47.2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47.2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47.2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47.2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47.2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47.2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47.2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47.2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47.2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47.2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47.2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47.2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47.2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47.2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47.2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47.2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47.2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47.2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47.2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47.2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47.2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47.2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47.2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47.2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47.2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47.2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47.2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47.2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47.2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47.2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47.2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47.2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47.2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47.2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47.2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47.2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47.2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47.2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47.2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47.2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47.2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47.2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47.2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47.2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47.2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47.2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47.2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47.2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47.2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47.2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47.2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47.2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47.2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47.2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47.2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47.2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47.2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47.2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47.2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47.2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47.2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47.2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47.2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47.2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47.2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47.2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47.2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47.2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47.2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47.2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47.2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47.2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47.2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47.2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47.2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47.2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47.2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47.2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47.2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47.2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47.2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47.2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47.2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47.2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47.2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47.2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47.2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47.2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47.2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47.2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47.2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47.2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47.2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47.2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47.2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47.2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47.2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47.2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47.2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47.2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47.2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47.2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47.2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47.2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47.2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47.2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47.2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47.2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47.2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47.2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47.2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47.2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47.2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47.2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47.2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47.2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47.2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47.2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47.2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47.2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47.2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47.2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47.2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47.2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47.2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47.2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47.2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47.2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47.2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47.2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47.2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47.2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47.2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47.2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47.2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47.2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47.2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47.2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47.2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47.2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47.2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47.2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47.2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47.2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47.2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47.2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47.2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47.2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47.2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47.2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47.2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47.2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47.2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47.2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47.2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47.2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47.2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47.2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47.2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47.2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47.2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47.2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47.2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47.2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47.2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47.2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47.2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47.2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47.2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47.2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47.2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47.2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47.2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47.2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47.2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47.2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47.2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47.2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47.2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47.2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47.2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47.2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47.2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47.2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47.2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47.2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47.2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47.2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47.2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47.2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47.2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47.2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47.2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47.2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47.2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47.2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47.2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47.2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47.2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47.2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47.2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47.2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47.2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47.2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47.2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47.2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47.2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47.2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47.2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47.2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47.2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47.2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47.2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47.2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47.2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47.2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47.2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47.2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47.2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47.2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47.2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47.2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47.2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47.2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47.2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47.2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47.2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47.2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47.2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47.2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47.2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47.2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47.2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47.2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47.2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47.2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47.2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47.2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47.2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47.2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47.2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47.2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47.2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47.2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47.2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47.2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47.2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47.2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47.2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47.2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47.2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47.2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47.2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47.2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47.2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47.2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47.2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47.2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47.2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47.2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47.2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47.2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47.2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47.2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47.2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47.2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47.2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47.2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47.2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47.2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47.2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47.2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47.2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47.2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47.2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47.2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47.2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47.2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47.2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47.2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47.2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47.2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47.2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47.2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47.2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47.2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47.2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47.2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47.2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47.2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47.2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47.2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47.2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47.2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47.2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47.2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47.2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47.2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47.2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47.2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47.2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47.2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47.2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47.2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47.2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47.2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47.2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47.2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47.2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47.2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47.2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47.2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47.2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47.2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47.2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47.2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47.2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47.2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47.2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47.2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47.2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47.2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47.2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47.2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47.2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47.2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47.2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47.2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47.2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47.2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47.2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47.2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47.2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47.2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47.2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47.2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47.2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47.2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47.2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47.2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47.2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47.2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47.2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47.2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47.2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47.2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47.2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47.2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47.2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47.2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47.2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47.2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47.2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47.2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47.2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47.2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47.2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47.2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47.2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47.2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47.2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47.2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47.2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47.2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47.2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47.2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47.2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47.2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47.2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47.2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47.2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47.2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47.2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47.2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47.2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47.2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47.2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47.2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47.2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47.2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47.2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47.2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47.2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47.2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47.2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47.2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47.2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47.2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47.2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47.2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47.2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47.2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47.2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47.2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47.2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47.2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47.2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47.2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47.2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47.2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47.2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47.2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47.2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47.2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47.2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47.2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47.2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47.2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47.2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47.2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47.2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47.2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47.2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47.2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47.2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47.2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47.2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47.2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47.2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47.2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47.2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47.2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47.2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47.2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47.2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47.2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47.2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47.2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47.2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47.2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47.2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47.2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47.2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47.2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47.2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47.2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47.2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47.2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47.2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47.2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47.2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47.2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47.2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47.2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47.2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47.2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47.2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47.2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47.2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47.2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47.2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47.2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47.2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47.2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47.2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47.2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47.2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47.2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47.2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47.2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47.2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47.2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47.2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47.2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47.2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47.2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47.2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47.2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47.2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47.2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47.2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47.2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47.2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47.2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47.2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47.2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47.2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47.2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47.2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47.2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47.2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47.2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47.2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47.2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47.2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47.2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47.2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47.2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47.2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47.2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47.2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47.2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47.2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47.2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47.2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47.2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47.2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47.2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47.2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47.2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47.2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47.2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47.2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47.2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47.2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47.2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47.2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47.2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47.2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47.2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47.2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47.2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47.2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47.2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47.2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47.2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47.2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47.2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47.2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47.2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47.2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47.2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47.2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47.2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47.2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47.2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47.2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47.2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47.2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47.2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47.2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47.2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47.2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47.2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47.2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47.2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47.2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47.2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47.2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47.2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47.2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47.2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47.2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47.2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47.2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47.2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47.2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47.2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47.2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47.2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47.2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47.2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47.2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47.2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47.2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47.2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47.2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47.2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47.2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47.2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47.2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47.2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47.2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47.2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47.2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47.2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47.2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47.2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47.2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47.2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47.2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47.2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47.2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47.2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47.2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47.2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47.2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47.2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47.2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47.2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47.2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47.2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47.2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47.2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47.2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47.2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47.2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47.2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47.2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47.2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47.2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47.2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47.2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47.2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47.2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47.2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47.2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47.2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47.2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47.2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47.2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47.2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47.2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47.2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47.2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47.2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47.2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47.2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47.2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47.2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47.2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47.2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47.2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47.2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47.2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47.2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47.2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47.2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47.2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47.2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47.2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47.2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47.2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47.2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47.2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47.2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47.2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47.2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47.2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47.2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47.2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47.2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47.2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47.2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47.2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47.2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47.2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47.2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47.2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47.2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47.2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47.2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47.2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47.2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47.2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47.2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47.2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47.2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47.2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47.2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47.2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47.2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47.2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47.2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47.2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47.2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47.2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47.2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47.2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47.2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47.2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47.2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47.2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47.2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47.2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47.2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47.2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47.2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47.2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47.2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47.2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47.2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47.2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47.2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47.2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47.2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47.2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47.2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47.2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47.2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47.2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47.2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47.2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47.2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47.2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47.2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47.2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47.2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47.2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47.2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47.2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47.2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47.2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47.2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47.2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47.2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47.2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47.2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47.2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47.2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47.2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47.2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47.2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47.2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47.2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47.2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47.2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47.2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47.2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47.2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47.2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47.2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47.2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47.2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47.2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47.2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47.2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47.2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47.2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47.2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47.2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47.2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47.2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47.2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47.2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47.2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47.2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47.2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47.2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47.2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47.2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47.2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47.2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47.2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47.2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47.2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47.2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47.2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47.2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47.2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47.2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47.2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47.2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47.2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47.2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47.2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47.2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47.2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47.2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47.2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47.2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47.2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47.2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47.2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47.2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47.2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47.2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47.2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47.2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47.2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47.2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47.2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47.2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47.2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47.2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47.2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47.2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47.2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47.2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47.2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47.2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47.2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47.2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47.2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47.2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47.2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47.2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47.2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47.2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47.2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47.2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47.2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47.2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47.2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47.2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47.2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47.2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47.2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47.2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47.2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47.2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47.2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47.2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47.2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47.2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47.2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47.2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47.2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47.2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47.2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47.2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47.2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47.2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47.2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47.2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47.2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47.2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47.2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47.2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47.2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47.2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47.2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47.2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47.2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47.2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47.2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47.2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47.2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47.2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47.2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47.2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47.2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47.2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47.2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47.2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47.2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47.2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47.2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47.2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47.2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47.2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47.2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47.2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47.2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47.2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47.2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47.2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47.2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47.2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47.2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47.2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47.2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47.2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47.2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47.2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47.2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47.2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47.2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47.2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47.2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47.2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47.2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47.2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47.2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47.2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47.2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47.2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47.2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47.2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47.2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47.2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47.2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47.2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47.2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</sheetData>
  <phoneticPr fontId="5" type="noConversion"/>
  <hyperlinks>
    <hyperlink ref="I2" r:id="rId1" xr:uid="{00000000-0004-0000-0000-000000000000}"/>
    <hyperlink ref="J2" r:id="rId2" xr:uid="{00000000-0004-0000-0000-000001000000}"/>
    <hyperlink ref="I3" r:id="rId3" xr:uid="{00000000-0004-0000-0000-000002000000}"/>
    <hyperlink ref="J3" r:id="rId4" xr:uid="{00000000-0004-0000-0000-000003000000}"/>
    <hyperlink ref="I4" r:id="rId5" xr:uid="{00000000-0004-0000-0000-000004000000}"/>
    <hyperlink ref="J4" r:id="rId6" xr:uid="{00000000-0004-0000-0000-000005000000}"/>
    <hyperlink ref="I5" r:id="rId7" xr:uid="{00000000-0004-0000-0000-000006000000}"/>
    <hyperlink ref="J5" r:id="rId8" xr:uid="{00000000-0004-0000-0000-000007000000}"/>
    <hyperlink ref="I6" r:id="rId9" xr:uid="{00000000-0004-0000-0000-000008000000}"/>
    <hyperlink ref="J6" r:id="rId10" xr:uid="{00000000-0004-0000-0000-000009000000}"/>
    <hyperlink ref="I7" r:id="rId11" xr:uid="{00000000-0004-0000-0000-00000A000000}"/>
    <hyperlink ref="J7" r:id="rId12" xr:uid="{00000000-0004-0000-0000-00000B000000}"/>
    <hyperlink ref="I8" r:id="rId13" xr:uid="{00000000-0004-0000-0000-00000C000000}"/>
    <hyperlink ref="J8" r:id="rId14" xr:uid="{00000000-0004-0000-0000-00000D000000}"/>
    <hyperlink ref="I9" r:id="rId15" xr:uid="{00000000-0004-0000-0000-00000E000000}"/>
    <hyperlink ref="J9" r:id="rId16" xr:uid="{00000000-0004-0000-0000-00000F000000}"/>
    <hyperlink ref="I10" r:id="rId17" xr:uid="{00000000-0004-0000-0000-000010000000}"/>
    <hyperlink ref="J10" r:id="rId18" xr:uid="{00000000-0004-0000-0000-000011000000}"/>
    <hyperlink ref="I11" r:id="rId19" xr:uid="{00000000-0004-0000-0000-000012000000}"/>
    <hyperlink ref="J11" r:id="rId20" xr:uid="{00000000-0004-0000-0000-000013000000}"/>
    <hyperlink ref="I12" r:id="rId21" xr:uid="{00000000-0004-0000-0000-000014000000}"/>
    <hyperlink ref="J12" r:id="rId22" xr:uid="{00000000-0004-0000-0000-000015000000}"/>
    <hyperlink ref="I13" r:id="rId23" xr:uid="{00000000-0004-0000-0000-000016000000}"/>
    <hyperlink ref="J13" r:id="rId24" xr:uid="{00000000-0004-0000-0000-000017000000}"/>
    <hyperlink ref="I14" r:id="rId25" xr:uid="{00000000-0004-0000-0000-000018000000}"/>
    <hyperlink ref="J14" r:id="rId26" xr:uid="{00000000-0004-0000-0000-000019000000}"/>
    <hyperlink ref="I15" r:id="rId27" xr:uid="{00000000-0004-0000-0000-00001A000000}"/>
    <hyperlink ref="J15" r:id="rId28" xr:uid="{00000000-0004-0000-0000-00001B000000}"/>
    <hyperlink ref="I16" r:id="rId29" xr:uid="{00000000-0004-0000-0000-00001C000000}"/>
    <hyperlink ref="J16" r:id="rId30" xr:uid="{00000000-0004-0000-0000-00001D000000}"/>
    <hyperlink ref="I17" r:id="rId31" xr:uid="{00000000-0004-0000-0000-00001E000000}"/>
    <hyperlink ref="J17" r:id="rId32" xr:uid="{00000000-0004-0000-0000-00001F000000}"/>
    <hyperlink ref="I18" r:id="rId33" xr:uid="{00000000-0004-0000-0000-000020000000}"/>
    <hyperlink ref="J18" r:id="rId34" xr:uid="{00000000-0004-0000-0000-000021000000}"/>
    <hyperlink ref="I19" r:id="rId35" xr:uid="{00000000-0004-0000-0000-000022000000}"/>
    <hyperlink ref="J19" r:id="rId36" xr:uid="{00000000-0004-0000-0000-000023000000}"/>
    <hyperlink ref="I20" r:id="rId37" xr:uid="{00000000-0004-0000-0000-000024000000}"/>
    <hyperlink ref="J20" r:id="rId38" xr:uid="{00000000-0004-0000-0000-000025000000}"/>
    <hyperlink ref="I21" r:id="rId39" xr:uid="{00000000-0004-0000-0000-000026000000}"/>
    <hyperlink ref="J21" r:id="rId40" xr:uid="{00000000-0004-0000-0000-000027000000}"/>
    <hyperlink ref="I22" r:id="rId41" xr:uid="{00000000-0004-0000-0000-000028000000}"/>
    <hyperlink ref="J22" r:id="rId42" xr:uid="{00000000-0004-0000-0000-000029000000}"/>
    <hyperlink ref="I23" r:id="rId43" xr:uid="{00000000-0004-0000-0000-00002A000000}"/>
    <hyperlink ref="J23" r:id="rId44" xr:uid="{00000000-0004-0000-0000-00002B000000}"/>
    <hyperlink ref="I24" r:id="rId45" xr:uid="{00000000-0004-0000-0000-00002C000000}"/>
    <hyperlink ref="J24" r:id="rId46" xr:uid="{00000000-0004-0000-0000-00002D000000}"/>
    <hyperlink ref="I25" r:id="rId47" xr:uid="{00000000-0004-0000-0000-00002E000000}"/>
    <hyperlink ref="J25" r:id="rId48" xr:uid="{00000000-0004-0000-0000-00002F000000}"/>
    <hyperlink ref="I26" r:id="rId49" xr:uid="{00000000-0004-0000-0000-000030000000}"/>
    <hyperlink ref="J26" r:id="rId50" xr:uid="{00000000-0004-0000-0000-000031000000}"/>
    <hyperlink ref="I27" r:id="rId51" xr:uid="{00000000-0004-0000-0000-000032000000}"/>
    <hyperlink ref="J27" r:id="rId52" xr:uid="{00000000-0004-0000-0000-000033000000}"/>
    <hyperlink ref="I28" r:id="rId53" xr:uid="{00000000-0004-0000-0000-000034000000}"/>
    <hyperlink ref="J28" r:id="rId54" xr:uid="{00000000-0004-0000-0000-000035000000}"/>
    <hyperlink ref="I29" r:id="rId55" xr:uid="{00000000-0004-0000-0000-000036000000}"/>
    <hyperlink ref="J29" r:id="rId56" xr:uid="{00000000-0004-0000-0000-000037000000}"/>
    <hyperlink ref="I30" r:id="rId57" xr:uid="{00000000-0004-0000-0000-000038000000}"/>
    <hyperlink ref="J30" r:id="rId58" xr:uid="{00000000-0004-0000-0000-000039000000}"/>
    <hyperlink ref="I31" r:id="rId59" xr:uid="{00000000-0004-0000-0000-00003A000000}"/>
    <hyperlink ref="J31" r:id="rId60" xr:uid="{00000000-0004-0000-0000-00003B000000}"/>
    <hyperlink ref="I32" r:id="rId61" xr:uid="{00000000-0004-0000-0000-00003C000000}"/>
    <hyperlink ref="J32" r:id="rId62" xr:uid="{00000000-0004-0000-0000-00003D000000}"/>
    <hyperlink ref="I33" r:id="rId63" xr:uid="{00000000-0004-0000-0000-00003E000000}"/>
    <hyperlink ref="J33" r:id="rId64" xr:uid="{00000000-0004-0000-0000-00003F000000}"/>
    <hyperlink ref="I34" r:id="rId65" xr:uid="{00000000-0004-0000-0000-000040000000}"/>
    <hyperlink ref="J34" r:id="rId66" xr:uid="{00000000-0004-0000-0000-000041000000}"/>
    <hyperlink ref="I35" r:id="rId67" xr:uid="{00000000-0004-0000-0000-000042000000}"/>
    <hyperlink ref="J35" r:id="rId68" xr:uid="{00000000-0004-0000-0000-000043000000}"/>
    <hyperlink ref="I36" r:id="rId69" xr:uid="{00000000-0004-0000-0000-000044000000}"/>
    <hyperlink ref="J36" r:id="rId70" xr:uid="{00000000-0004-0000-0000-000045000000}"/>
    <hyperlink ref="I37" r:id="rId71" xr:uid="{00000000-0004-0000-0000-000046000000}"/>
    <hyperlink ref="J37" r:id="rId72" xr:uid="{00000000-0004-0000-0000-000047000000}"/>
    <hyperlink ref="I38" r:id="rId73" xr:uid="{00000000-0004-0000-0000-000048000000}"/>
    <hyperlink ref="J38" r:id="rId74" xr:uid="{00000000-0004-0000-0000-000049000000}"/>
    <hyperlink ref="I39" r:id="rId75" xr:uid="{00000000-0004-0000-0000-00004A000000}"/>
    <hyperlink ref="J39" r:id="rId76" xr:uid="{00000000-0004-0000-0000-00004B000000}"/>
    <hyperlink ref="I40" r:id="rId77" xr:uid="{00000000-0004-0000-0000-00004C000000}"/>
    <hyperlink ref="J40" r:id="rId78" xr:uid="{00000000-0004-0000-0000-00004D000000}"/>
    <hyperlink ref="I41" r:id="rId79" xr:uid="{00000000-0004-0000-0000-00004E000000}"/>
    <hyperlink ref="J41" r:id="rId80" xr:uid="{00000000-0004-0000-0000-00004F000000}"/>
    <hyperlink ref="I42" r:id="rId81" xr:uid="{00000000-0004-0000-0000-000050000000}"/>
    <hyperlink ref="J42" r:id="rId82" xr:uid="{00000000-0004-0000-0000-000051000000}"/>
    <hyperlink ref="I43" r:id="rId83" xr:uid="{00000000-0004-0000-0000-000052000000}"/>
    <hyperlink ref="J43" r:id="rId84" xr:uid="{00000000-0004-0000-0000-000053000000}"/>
    <hyperlink ref="I44" r:id="rId85" xr:uid="{00000000-0004-0000-0000-000054000000}"/>
    <hyperlink ref="J44" r:id="rId86" xr:uid="{00000000-0004-0000-0000-000055000000}"/>
    <hyperlink ref="I45" r:id="rId87" xr:uid="{00000000-0004-0000-0000-000056000000}"/>
    <hyperlink ref="J45" r:id="rId88" xr:uid="{00000000-0004-0000-0000-000057000000}"/>
    <hyperlink ref="I46" r:id="rId89" xr:uid="{00000000-0004-0000-0000-000058000000}"/>
    <hyperlink ref="J46" r:id="rId90" xr:uid="{00000000-0004-0000-0000-000059000000}"/>
    <hyperlink ref="I47" r:id="rId91" xr:uid="{00000000-0004-0000-0000-00005A000000}"/>
    <hyperlink ref="J47" r:id="rId92" xr:uid="{00000000-0004-0000-0000-00005B000000}"/>
    <hyperlink ref="I48" r:id="rId93" xr:uid="{00000000-0004-0000-0000-00005C000000}"/>
    <hyperlink ref="J48" r:id="rId94" xr:uid="{00000000-0004-0000-0000-00005D000000}"/>
    <hyperlink ref="I49" r:id="rId95" xr:uid="{00000000-0004-0000-0000-00005E000000}"/>
    <hyperlink ref="J49" r:id="rId96" xr:uid="{00000000-0004-0000-0000-00005F000000}"/>
    <hyperlink ref="I50" r:id="rId97" xr:uid="{00000000-0004-0000-0000-000060000000}"/>
    <hyperlink ref="J50" r:id="rId98" xr:uid="{00000000-0004-0000-0000-000061000000}"/>
    <hyperlink ref="I51" r:id="rId99" xr:uid="{00000000-0004-0000-0000-000062000000}"/>
    <hyperlink ref="J51" r:id="rId100" xr:uid="{00000000-0004-0000-0000-000063000000}"/>
    <hyperlink ref="I52" r:id="rId101" xr:uid="{00000000-0004-0000-0000-000064000000}"/>
    <hyperlink ref="J52" r:id="rId102" xr:uid="{00000000-0004-0000-0000-000065000000}"/>
    <hyperlink ref="I53" r:id="rId103" xr:uid="{00000000-0004-0000-0000-000066000000}"/>
    <hyperlink ref="J53" r:id="rId104" xr:uid="{00000000-0004-0000-0000-000067000000}"/>
    <hyperlink ref="I54" r:id="rId105" xr:uid="{00000000-0004-0000-0000-000068000000}"/>
    <hyperlink ref="J54" r:id="rId106" xr:uid="{00000000-0004-0000-0000-000069000000}"/>
    <hyperlink ref="I55" r:id="rId107" xr:uid="{00000000-0004-0000-0000-00006A000000}"/>
    <hyperlink ref="J55" r:id="rId108" xr:uid="{00000000-0004-0000-0000-00006B000000}"/>
    <hyperlink ref="I56" r:id="rId109" xr:uid="{00000000-0004-0000-0000-00006C000000}"/>
    <hyperlink ref="J56" r:id="rId110" xr:uid="{00000000-0004-0000-0000-00006D000000}"/>
    <hyperlink ref="I57" r:id="rId111" xr:uid="{00000000-0004-0000-0000-00006E000000}"/>
    <hyperlink ref="J57" r:id="rId112" xr:uid="{00000000-0004-0000-0000-00006F000000}"/>
    <hyperlink ref="I58" r:id="rId113" xr:uid="{00000000-0004-0000-0000-000070000000}"/>
    <hyperlink ref="J58" r:id="rId114" xr:uid="{00000000-0004-0000-0000-000071000000}"/>
    <hyperlink ref="I59" r:id="rId115" xr:uid="{00000000-0004-0000-0000-000072000000}"/>
    <hyperlink ref="J59" r:id="rId116" xr:uid="{00000000-0004-0000-0000-000073000000}"/>
    <hyperlink ref="I60" r:id="rId117" xr:uid="{00000000-0004-0000-0000-000074000000}"/>
    <hyperlink ref="J60" r:id="rId118" xr:uid="{00000000-0004-0000-0000-000075000000}"/>
    <hyperlink ref="I61" r:id="rId119" xr:uid="{00000000-0004-0000-0000-000076000000}"/>
    <hyperlink ref="J61" r:id="rId120" xr:uid="{00000000-0004-0000-0000-000077000000}"/>
    <hyperlink ref="I62" r:id="rId121" xr:uid="{00000000-0004-0000-0000-000078000000}"/>
    <hyperlink ref="J62" r:id="rId122" xr:uid="{00000000-0004-0000-0000-000079000000}"/>
    <hyperlink ref="I63" r:id="rId123" xr:uid="{00000000-0004-0000-0000-00007A000000}"/>
    <hyperlink ref="J63" r:id="rId124" xr:uid="{00000000-0004-0000-0000-00007B000000}"/>
    <hyperlink ref="I64" r:id="rId125" xr:uid="{00000000-0004-0000-0000-00007C000000}"/>
    <hyperlink ref="J64" r:id="rId126" xr:uid="{00000000-0004-0000-0000-00007D000000}"/>
    <hyperlink ref="I65" r:id="rId127" xr:uid="{00000000-0004-0000-0000-00007E000000}"/>
    <hyperlink ref="J65" r:id="rId128" xr:uid="{00000000-0004-0000-0000-00007F000000}"/>
    <hyperlink ref="I66" r:id="rId129" xr:uid="{00000000-0004-0000-0000-000080000000}"/>
    <hyperlink ref="J66" r:id="rId130" xr:uid="{00000000-0004-0000-0000-000081000000}"/>
    <hyperlink ref="I67" r:id="rId131" xr:uid="{00000000-0004-0000-0000-000082000000}"/>
    <hyperlink ref="J67" r:id="rId132" xr:uid="{00000000-0004-0000-0000-000083000000}"/>
    <hyperlink ref="I68" r:id="rId133" xr:uid="{00000000-0004-0000-0000-000084000000}"/>
    <hyperlink ref="J68" r:id="rId134" xr:uid="{00000000-0004-0000-0000-000085000000}"/>
    <hyperlink ref="I69" r:id="rId135" xr:uid="{00000000-0004-0000-0000-000086000000}"/>
    <hyperlink ref="J69" r:id="rId136" xr:uid="{00000000-0004-0000-0000-000087000000}"/>
    <hyperlink ref="I70" r:id="rId137" xr:uid="{00000000-0004-0000-0000-000088000000}"/>
    <hyperlink ref="J70" r:id="rId138" xr:uid="{00000000-0004-0000-0000-000089000000}"/>
    <hyperlink ref="I71" r:id="rId139" xr:uid="{00000000-0004-0000-0000-00008A000000}"/>
    <hyperlink ref="J71" r:id="rId140" xr:uid="{00000000-0004-0000-0000-00008B000000}"/>
    <hyperlink ref="I72" r:id="rId141" xr:uid="{00000000-0004-0000-0000-00008C000000}"/>
    <hyperlink ref="J72" r:id="rId142" xr:uid="{00000000-0004-0000-0000-00008D000000}"/>
    <hyperlink ref="I73" r:id="rId143" xr:uid="{00000000-0004-0000-0000-00008E000000}"/>
    <hyperlink ref="J73" r:id="rId144" xr:uid="{00000000-0004-0000-0000-00008F000000}"/>
    <hyperlink ref="I74" r:id="rId145" xr:uid="{00000000-0004-0000-0000-000090000000}"/>
    <hyperlink ref="J74" r:id="rId146" xr:uid="{00000000-0004-0000-0000-000091000000}"/>
    <hyperlink ref="I75" r:id="rId147" xr:uid="{00000000-0004-0000-0000-000092000000}"/>
    <hyperlink ref="J75" r:id="rId148" xr:uid="{00000000-0004-0000-0000-000093000000}"/>
    <hyperlink ref="I76" r:id="rId149" xr:uid="{00000000-0004-0000-0000-000094000000}"/>
    <hyperlink ref="J76" r:id="rId150" xr:uid="{00000000-0004-0000-0000-000095000000}"/>
    <hyperlink ref="I77" r:id="rId151" xr:uid="{00000000-0004-0000-0000-000096000000}"/>
    <hyperlink ref="J77" r:id="rId152" xr:uid="{00000000-0004-0000-0000-000097000000}"/>
    <hyperlink ref="I78" r:id="rId153" xr:uid="{00000000-0004-0000-0000-000098000000}"/>
    <hyperlink ref="J78" r:id="rId154" xr:uid="{00000000-0004-0000-0000-000099000000}"/>
    <hyperlink ref="I79" r:id="rId155" xr:uid="{00000000-0004-0000-0000-00009A000000}"/>
    <hyperlink ref="J79" r:id="rId156" xr:uid="{00000000-0004-0000-0000-00009B000000}"/>
    <hyperlink ref="I80" r:id="rId157" xr:uid="{00000000-0004-0000-0000-00009C000000}"/>
    <hyperlink ref="J80" r:id="rId158" xr:uid="{00000000-0004-0000-0000-00009D000000}"/>
    <hyperlink ref="I81" r:id="rId159" xr:uid="{00000000-0004-0000-0000-00009E000000}"/>
    <hyperlink ref="J81" r:id="rId160" xr:uid="{00000000-0004-0000-0000-00009F000000}"/>
    <hyperlink ref="I82" r:id="rId161" xr:uid="{00000000-0004-0000-0000-0000A0000000}"/>
    <hyperlink ref="J82" r:id="rId162" xr:uid="{00000000-0004-0000-0000-0000A1000000}"/>
    <hyperlink ref="I83" r:id="rId163" xr:uid="{00000000-0004-0000-0000-0000A2000000}"/>
    <hyperlink ref="J83" r:id="rId164" xr:uid="{00000000-0004-0000-0000-0000A3000000}"/>
    <hyperlink ref="I84" r:id="rId165" xr:uid="{00000000-0004-0000-0000-0000A4000000}"/>
    <hyperlink ref="J84" r:id="rId166" xr:uid="{00000000-0004-0000-0000-0000A5000000}"/>
    <hyperlink ref="I85" r:id="rId167" xr:uid="{00000000-0004-0000-0000-0000A6000000}"/>
    <hyperlink ref="J85" r:id="rId168" xr:uid="{00000000-0004-0000-0000-0000A7000000}"/>
    <hyperlink ref="I86" r:id="rId169" xr:uid="{00000000-0004-0000-0000-0000A8000000}"/>
    <hyperlink ref="J86" r:id="rId170" xr:uid="{00000000-0004-0000-0000-0000A9000000}"/>
    <hyperlink ref="I87" r:id="rId171" xr:uid="{00000000-0004-0000-0000-0000AA000000}"/>
    <hyperlink ref="J87" r:id="rId172" xr:uid="{00000000-0004-0000-0000-0000AB000000}"/>
    <hyperlink ref="I88" r:id="rId173" xr:uid="{00000000-0004-0000-0000-0000AC000000}"/>
    <hyperlink ref="J88" r:id="rId174" xr:uid="{00000000-0004-0000-0000-0000AD000000}"/>
    <hyperlink ref="I89" r:id="rId175" xr:uid="{00000000-0004-0000-0000-0000AE000000}"/>
    <hyperlink ref="J89" r:id="rId176" xr:uid="{00000000-0004-0000-0000-0000AF000000}"/>
    <hyperlink ref="I90" r:id="rId177" xr:uid="{00000000-0004-0000-0000-0000B0000000}"/>
    <hyperlink ref="J90" r:id="rId178" xr:uid="{00000000-0004-0000-0000-0000B1000000}"/>
    <hyperlink ref="I91" r:id="rId179" xr:uid="{00000000-0004-0000-0000-0000B2000000}"/>
    <hyperlink ref="J91" r:id="rId180" xr:uid="{00000000-0004-0000-0000-0000B3000000}"/>
    <hyperlink ref="I92" r:id="rId181" xr:uid="{00000000-0004-0000-0000-0000B4000000}"/>
    <hyperlink ref="J92" r:id="rId182" xr:uid="{00000000-0004-0000-0000-0000B5000000}"/>
    <hyperlink ref="I93" r:id="rId183" xr:uid="{00000000-0004-0000-0000-0000B6000000}"/>
    <hyperlink ref="J93" r:id="rId184" xr:uid="{00000000-0004-0000-0000-0000B7000000}"/>
    <hyperlink ref="I94" r:id="rId185" xr:uid="{00000000-0004-0000-0000-0000B8000000}"/>
    <hyperlink ref="J94" r:id="rId186" xr:uid="{00000000-0004-0000-0000-0000B9000000}"/>
    <hyperlink ref="I95" r:id="rId187" xr:uid="{00000000-0004-0000-0000-0000BA000000}"/>
    <hyperlink ref="J95" r:id="rId188" xr:uid="{00000000-0004-0000-0000-0000BB000000}"/>
    <hyperlink ref="I96" r:id="rId189" xr:uid="{00000000-0004-0000-0000-0000BC000000}"/>
    <hyperlink ref="J96" r:id="rId190" xr:uid="{00000000-0004-0000-0000-0000BD000000}"/>
    <hyperlink ref="I97" r:id="rId191" xr:uid="{00000000-0004-0000-0000-0000BE000000}"/>
    <hyperlink ref="J97" r:id="rId192" xr:uid="{00000000-0004-0000-0000-0000BF000000}"/>
    <hyperlink ref="J98" r:id="rId193" xr:uid="{00000000-0004-0000-0000-0000C0000000}"/>
    <hyperlink ref="J99" r:id="rId194" xr:uid="{00000000-0004-0000-0000-0000C1000000}"/>
    <hyperlink ref="J100" r:id="rId195" xr:uid="{00000000-0004-0000-0000-0000C2000000}"/>
    <hyperlink ref="J101" r:id="rId196" xr:uid="{00000000-0004-0000-0000-0000C3000000}"/>
    <hyperlink ref="J102" r:id="rId197" xr:uid="{00000000-0004-0000-0000-0000C4000000}"/>
    <hyperlink ref="J103" r:id="rId198" xr:uid="{00000000-0004-0000-0000-0000C5000000}"/>
    <hyperlink ref="J104" r:id="rId199" xr:uid="{00000000-0004-0000-0000-0000C6000000}"/>
    <hyperlink ref="J105" r:id="rId200" xr:uid="{00000000-0004-0000-0000-0000C7000000}"/>
    <hyperlink ref="J106" r:id="rId201" xr:uid="{00000000-0004-0000-0000-0000C8000000}"/>
    <hyperlink ref="J107" r:id="rId202" xr:uid="{00000000-0004-0000-0000-0000C9000000}"/>
    <hyperlink ref="J108" r:id="rId203" xr:uid="{00000000-0004-0000-0000-0000CA000000}"/>
    <hyperlink ref="J109" r:id="rId204" xr:uid="{00000000-0004-0000-0000-0000CB000000}"/>
    <hyperlink ref="J110" r:id="rId205" xr:uid="{00000000-0004-0000-0000-0000CC000000}"/>
    <hyperlink ref="J111" r:id="rId206" xr:uid="{00000000-0004-0000-0000-0000CD000000}"/>
    <hyperlink ref="J112" r:id="rId207" xr:uid="{00000000-0004-0000-0000-0000CE000000}"/>
    <hyperlink ref="J113" r:id="rId208" xr:uid="{00000000-0004-0000-0000-0000CF000000}"/>
    <hyperlink ref="J114" r:id="rId209" xr:uid="{00000000-0004-0000-0000-0000D0000000}"/>
    <hyperlink ref="J115" r:id="rId210" xr:uid="{00000000-0004-0000-0000-0000D1000000}"/>
    <hyperlink ref="J116" r:id="rId211" xr:uid="{00000000-0004-0000-0000-0000D2000000}"/>
    <hyperlink ref="J117" r:id="rId212" xr:uid="{00000000-0004-0000-0000-0000D3000000}"/>
    <hyperlink ref="J118" r:id="rId213" xr:uid="{00000000-0004-0000-0000-0000D4000000}"/>
    <hyperlink ref="J119" r:id="rId214" xr:uid="{00000000-0004-0000-0000-0000D5000000}"/>
    <hyperlink ref="J120" r:id="rId215" xr:uid="{00000000-0004-0000-0000-0000D6000000}"/>
    <hyperlink ref="J121" r:id="rId216" xr:uid="{00000000-0004-0000-0000-0000D7000000}"/>
    <hyperlink ref="J122" r:id="rId217" xr:uid="{00000000-0004-0000-0000-0000D8000000}"/>
    <hyperlink ref="J123" r:id="rId218" xr:uid="{00000000-0004-0000-0000-0000D9000000}"/>
    <hyperlink ref="J124" r:id="rId219" xr:uid="{00000000-0004-0000-0000-0000DA000000}"/>
    <hyperlink ref="J125" r:id="rId220" xr:uid="{00000000-0004-0000-0000-0000DB000000}"/>
    <hyperlink ref="J126" r:id="rId221" xr:uid="{00000000-0004-0000-0000-0000DC000000}"/>
    <hyperlink ref="J127" r:id="rId222" xr:uid="{00000000-0004-0000-0000-0000DD000000}"/>
    <hyperlink ref="J128" r:id="rId223" xr:uid="{00000000-0004-0000-0000-0000DE00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Luuk Adriaan Boekestein</cp:lastModifiedBy>
  <dcterms:modified xsi:type="dcterms:W3CDTF">2026-04-15T13:28:36Z</dcterms:modified>
</cp:coreProperties>
</file>